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style3.xml" ContentType="application/vnd.ms-office.chartstyle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3.xml" ContentType="application/vnd.ms-office.chartcolorstyle+xml"/>
  <Override PartName="/xl/charts/colors2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05" yWindow="-105" windowWidth="23250" windowHeight="12600"/>
  </bookViews>
  <sheets>
    <sheet name="неявная схема" sheetId="1" r:id="rId1"/>
    <sheet name="явная схема" sheetId="5" r:id="rId2"/>
    <sheet name="неявная 2" sheetId="6" r:id="rId3"/>
    <sheet name="явная 2" sheetId="7" r:id="rId4"/>
  </sheets>
  <externalReferences>
    <externalReference r:id="rId5"/>
  </externalReferences>
  <calcPr calcId="19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/>
  <c r="B22" i="6" l="1"/>
  <c r="C14" i="7" l="1"/>
  <c r="B22"/>
  <c r="C15"/>
  <c r="AC25"/>
  <c r="Y25"/>
  <c r="U25"/>
  <c r="Q25"/>
  <c r="M25"/>
  <c r="I25"/>
  <c r="E25"/>
  <c r="B25"/>
  <c r="AF22"/>
  <c r="AF25" s="1"/>
  <c r="C21"/>
  <c r="D21" s="1"/>
  <c r="E21" s="1"/>
  <c r="F21" s="1"/>
  <c r="G21" s="1"/>
  <c r="H21" s="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C6"/>
  <c r="AB25" s="1"/>
  <c r="D23" i="6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B23"/>
  <c r="B27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F24"/>
  <c r="AF22"/>
  <c r="C17"/>
  <c r="C16"/>
  <c r="C6"/>
  <c r="C21" s="1"/>
  <c r="D21" s="1"/>
  <c r="E21" s="1"/>
  <c r="F21" s="1"/>
  <c r="G21" s="1"/>
  <c r="H21" s="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E2"/>
  <c r="F25" i="7" l="1"/>
  <c r="J25"/>
  <c r="N25"/>
  <c r="R25"/>
  <c r="V25"/>
  <c r="Z25"/>
  <c r="AD25"/>
  <c r="C25"/>
  <c r="G25"/>
  <c r="K25"/>
  <c r="O25"/>
  <c r="S25"/>
  <c r="W25"/>
  <c r="AA25"/>
  <c r="AE25"/>
  <c r="C7"/>
  <c r="D25"/>
  <c r="H25"/>
  <c r="L25"/>
  <c r="P25"/>
  <c r="T25"/>
  <c r="X25"/>
  <c r="C27" i="6"/>
  <c r="C15"/>
  <c r="AD24" i="7" l="1"/>
  <c r="Z24"/>
  <c r="V24"/>
  <c r="R24"/>
  <c r="N24"/>
  <c r="J24"/>
  <c r="F24"/>
  <c r="AA24"/>
  <c r="S24"/>
  <c r="K24"/>
  <c r="AC24"/>
  <c r="Y24"/>
  <c r="U24"/>
  <c r="Q24"/>
  <c r="M24"/>
  <c r="I24"/>
  <c r="E24"/>
  <c r="W24"/>
  <c r="C24"/>
  <c r="AB24"/>
  <c r="X24"/>
  <c r="T24"/>
  <c r="P24"/>
  <c r="L24"/>
  <c r="H24"/>
  <c r="D24"/>
  <c r="AE24"/>
  <c r="O24"/>
  <c r="G24"/>
  <c r="C26" i="6"/>
  <c r="D27"/>
  <c r="D26" l="1"/>
  <c r="E26" l="1"/>
  <c r="E27"/>
  <c r="F27" s="1"/>
  <c r="F26" l="1"/>
  <c r="G26" l="1"/>
  <c r="G27"/>
  <c r="H27" s="1"/>
  <c r="H26" l="1"/>
  <c r="I27" s="1"/>
  <c r="J12" i="1"/>
  <c r="C14" i="5"/>
  <c r="AF22" s="1"/>
  <c r="AE24" s="1"/>
  <c r="C13"/>
  <c r="B22" s="1"/>
  <c r="C24" s="1"/>
  <c r="C8"/>
  <c r="C7"/>
  <c r="AB24" s="1"/>
  <c r="AC24"/>
  <c r="AA24"/>
  <c r="Y24"/>
  <c r="X24"/>
  <c r="W24"/>
  <c r="U24"/>
  <c r="T24"/>
  <c r="S24"/>
  <c r="Q24"/>
  <c r="P24"/>
  <c r="O24"/>
  <c r="M24"/>
  <c r="L24"/>
  <c r="K24"/>
  <c r="I24"/>
  <c r="H24"/>
  <c r="G24"/>
  <c r="E24"/>
  <c r="D24"/>
  <c r="C21"/>
  <c r="D21" s="1"/>
  <c r="E21" s="1"/>
  <c r="F21" s="1"/>
  <c r="G21" s="1"/>
  <c r="H21" s="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C6"/>
  <c r="AD24" s="1"/>
  <c r="E2"/>
  <c r="I26" i="6" l="1"/>
  <c r="J27" s="1"/>
  <c r="F24" i="5"/>
  <c r="J24"/>
  <c r="N24"/>
  <c r="R24"/>
  <c r="V24"/>
  <c r="Z24"/>
  <c r="J26" i="6" l="1"/>
  <c r="K12" i="1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H14"/>
  <c r="K26" i="6" l="1"/>
  <c r="K27"/>
  <c r="L27" s="1"/>
  <c r="L26" l="1"/>
  <c r="M26" l="1"/>
  <c r="M27"/>
  <c r="N27" s="1"/>
  <c r="N26" l="1"/>
  <c r="AF22" i="1"/>
  <c r="AL11" s="1"/>
  <c r="O26" i="6" l="1"/>
  <c r="O27"/>
  <c r="P27" s="1"/>
  <c r="B22" i="1"/>
  <c r="H12" s="1"/>
  <c r="C6"/>
  <c r="C21" s="1"/>
  <c r="D21" s="1"/>
  <c r="E21" s="1"/>
  <c r="F21" s="1"/>
  <c r="G21" s="1"/>
  <c r="H21" s="1"/>
  <c r="I21" s="1"/>
  <c r="J21" s="1"/>
  <c r="K21" s="1"/>
  <c r="L21" s="1"/>
  <c r="M21" s="1"/>
  <c r="N21" s="1"/>
  <c r="O21" s="1"/>
  <c r="P21" s="1"/>
  <c r="Q21" s="1"/>
  <c r="R21" s="1"/>
  <c r="S21" s="1"/>
  <c r="T21" s="1"/>
  <c r="U21" s="1"/>
  <c r="V21" s="1"/>
  <c r="W21" s="1"/>
  <c r="X21" s="1"/>
  <c r="Y21" s="1"/>
  <c r="Z21" s="1"/>
  <c r="AA21" s="1"/>
  <c r="AB21" s="1"/>
  <c r="AC21" s="1"/>
  <c r="AD21" s="1"/>
  <c r="AE21" s="1"/>
  <c r="AF21" s="1"/>
  <c r="C16" l="1"/>
  <c r="C17"/>
  <c r="I14" s="1"/>
  <c r="C15"/>
  <c r="C2"/>
  <c r="P26" i="6"/>
  <c r="C18" i="1"/>
  <c r="I13" l="1"/>
  <c r="J14" s="1"/>
  <c r="J13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AK13" s="1"/>
  <c r="Q26" i="6"/>
  <c r="Q27"/>
  <c r="R27" s="1"/>
  <c r="K14" i="1" l="1"/>
  <c r="L14" s="1"/>
  <c r="M14" s="1"/>
  <c r="N14" s="1"/>
  <c r="O14" s="1"/>
  <c r="P14" s="1"/>
  <c r="Q14" s="1"/>
  <c r="R14" s="1"/>
  <c r="S14" s="1"/>
  <c r="T14" s="1"/>
  <c r="U14" s="1"/>
  <c r="V14" s="1"/>
  <c r="R26" i="6"/>
  <c r="S27" s="1"/>
  <c r="S26" l="1"/>
  <c r="W14" i="1"/>
  <c r="X14" s="1"/>
  <c r="T26" i="6" l="1"/>
  <c r="T27"/>
  <c r="U27" s="1"/>
  <c r="Y14" i="1"/>
  <c r="Z14" s="1"/>
  <c r="U26" i="6" l="1"/>
  <c r="AA14" i="1"/>
  <c r="AB14" s="1"/>
  <c r="V26" i="6" l="1"/>
  <c r="V27"/>
  <c r="W27" s="1"/>
  <c r="AC14" i="1"/>
  <c r="AD14" s="1"/>
  <c r="W26" i="6" l="1"/>
  <c r="AE14" i="1"/>
  <c r="AF14" s="1"/>
  <c r="X26" i="6" l="1"/>
  <c r="X27"/>
  <c r="Y27" s="1"/>
  <c r="AG14" i="1"/>
  <c r="AH14" s="1"/>
  <c r="Y26" i="6" l="1"/>
  <c r="AI14" i="1"/>
  <c r="AJ14" s="1"/>
  <c r="Z26" i="6" l="1"/>
  <c r="Z27"/>
  <c r="AA27" s="1"/>
  <c r="AK14" i="1"/>
  <c r="AK11" s="1"/>
  <c r="AJ11" s="1"/>
  <c r="AI11" s="1"/>
  <c r="AH11" s="1"/>
  <c r="AG11" s="1"/>
  <c r="AF11" s="1"/>
  <c r="AE11" s="1"/>
  <c r="AD11" s="1"/>
  <c r="AC11" s="1"/>
  <c r="AB11" s="1"/>
  <c r="AA11" s="1"/>
  <c r="Z11" s="1"/>
  <c r="Y11" s="1"/>
  <c r="X11" s="1"/>
  <c r="W11" s="1"/>
  <c r="V11" s="1"/>
  <c r="U11" s="1"/>
  <c r="T11" s="1"/>
  <c r="S11" s="1"/>
  <c r="R11" s="1"/>
  <c r="Q11" s="1"/>
  <c r="P11" s="1"/>
  <c r="O11" s="1"/>
  <c r="N11" s="1"/>
  <c r="M11" s="1"/>
  <c r="L11" s="1"/>
  <c r="K11" s="1"/>
  <c r="J11" s="1"/>
  <c r="I11" s="1"/>
  <c r="AA26" i="6" l="1"/>
  <c r="AB27" s="1"/>
  <c r="AB26" l="1"/>
  <c r="AC26" l="1"/>
  <c r="AC27"/>
  <c r="AD27" s="1"/>
  <c r="AD26" l="1"/>
  <c r="AE26" l="1"/>
  <c r="AE27"/>
  <c r="AE24" l="1"/>
  <c r="AD24" s="1"/>
  <c r="AC24" s="1"/>
  <c r="AB24" s="1"/>
  <c r="AA24" s="1"/>
  <c r="Z24" s="1"/>
  <c r="Y24" s="1"/>
  <c r="X24" s="1"/>
  <c r="W24" s="1"/>
  <c r="V24" s="1"/>
  <c r="U24" s="1"/>
  <c r="T24" s="1"/>
  <c r="S24" s="1"/>
  <c r="R24" s="1"/>
  <c r="Q24" s="1"/>
  <c r="P24" s="1"/>
  <c r="O24" s="1"/>
  <c r="N24" s="1"/>
  <c r="M24" s="1"/>
  <c r="L24" s="1"/>
  <c r="K24" s="1"/>
  <c r="J24" s="1"/>
  <c r="I24" s="1"/>
  <c r="H24" s="1"/>
  <c r="G24" s="1"/>
  <c r="F24" s="1"/>
  <c r="E24" s="1"/>
  <c r="D24" s="1"/>
  <c r="C24" s="1"/>
  <c r="C18"/>
  <c r="B25"/>
  <c r="C23"/>
</calcChain>
</file>

<file path=xl/sharedStrings.xml><?xml version="1.0" encoding="utf-8"?>
<sst xmlns="http://schemas.openxmlformats.org/spreadsheetml/2006/main" count="65" uniqueCount="20">
  <si>
    <t>L</t>
  </si>
  <si>
    <t>dx</t>
  </si>
  <si>
    <t>dt</t>
  </si>
  <si>
    <t>t</t>
  </si>
  <si>
    <t>Cp</t>
  </si>
  <si>
    <t>ro</t>
  </si>
  <si>
    <t>lambda</t>
  </si>
  <si>
    <t>T</t>
  </si>
  <si>
    <t>T1</t>
  </si>
  <si>
    <t>T2</t>
  </si>
  <si>
    <t>T_iter</t>
  </si>
  <si>
    <t>alpha</t>
  </si>
  <si>
    <t>A</t>
  </si>
  <si>
    <t>B</t>
  </si>
  <si>
    <t>C</t>
  </si>
  <si>
    <t>F</t>
  </si>
  <si>
    <t>betta</t>
  </si>
  <si>
    <t>q</t>
  </si>
  <si>
    <t>q_start</t>
  </si>
  <si>
    <t>q1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</si>
</sst>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"/>
  </numFmts>
  <fonts count="2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1" fillId="0" borderId="0" xfId="0" applyFont="1"/>
    <xf numFmtId="0" fontId="0" fillId="2" borderId="0" xfId="0" applyFill="1"/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D0F-4C49-83C0-752632C54D64}"/>
            </c:ext>
          </c:extLst>
        </c:ser>
        <c:dLbls/>
        <c:axId val="82740352"/>
        <c:axId val="82742272"/>
      </c:scatterChart>
      <c:valAx>
        <c:axId val="8274035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742272"/>
        <c:crosses val="autoZero"/>
        <c:crossBetween val="midCat"/>
        <c:majorUnit val="1.0000000000000004E-2"/>
      </c:valAx>
      <c:valAx>
        <c:axId val="827422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740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1"/>
          <c:order val="0"/>
          <c:marker>
            <c:symbol val="none"/>
          </c:marker>
          <c:xVal>
            <c:numRef>
              <c:f>'неявная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E6-4C7B-B47F-449D1BF64F1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1E6-4C7B-B47F-449D1BF64F1D}"/>
            </c:ext>
          </c:extLst>
        </c:ser>
        <c:dLbls/>
        <c:axId val="83781120"/>
        <c:axId val="83783040"/>
      </c:scatterChart>
      <c:valAx>
        <c:axId val="8378112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783040"/>
        <c:crosses val="autoZero"/>
        <c:crossBetween val="midCat"/>
        <c:majorUnit val="1.0000000000000004E-2"/>
      </c:valAx>
      <c:valAx>
        <c:axId val="837830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781120"/>
        <c:crosses val="autoZero"/>
        <c:crossBetween val="midCat"/>
      </c:valAx>
    </c:plotArea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6894124532463842"/>
          <c:y val="2.1085682140180872E-2"/>
          <c:w val="0.8035797133525272"/>
          <c:h val="0.72169952623339395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[1]Лист2!$B$21:$AF$21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[1]Лист2!$B$22:$AF$22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9D7-4D17-858C-94BFBFD850D9}"/>
            </c:ext>
          </c:extLst>
        </c:ser>
        <c:dLbls/>
        <c:axId val="83489536"/>
        <c:axId val="83491456"/>
      </c:scatterChart>
      <c:valAx>
        <c:axId val="8348953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491456"/>
        <c:crosses val="autoZero"/>
        <c:crossBetween val="midCat"/>
        <c:majorUnit val="1.0000000000000004E-2"/>
      </c:valAx>
      <c:valAx>
        <c:axId val="8349145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48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6894124532463842"/>
          <c:y val="2.1085682140180872E-2"/>
          <c:w val="0.8035797133525272"/>
          <c:h val="0.72169952623339395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CCC-48BD-A067-F82CAEBBA0BE}"/>
            </c:ext>
          </c:extLst>
        </c:ser>
        <c:dLbls/>
        <c:axId val="83475456"/>
        <c:axId val="84898944"/>
      </c:scatterChart>
      <c:valAx>
        <c:axId val="8347545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898944"/>
        <c:crosses val="autoZero"/>
        <c:crossBetween val="midCat"/>
        <c:majorUnit val="1.0000000000000004E-2"/>
      </c:valAx>
      <c:valAx>
        <c:axId val="8489894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347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5F450A09-883B-43FE-A99E-F4FEA3466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449580</xdr:colOff>
      <xdr:row>27</xdr:row>
      <xdr:rowOff>137160</xdr:rowOff>
    </xdr:from>
    <xdr:to>
      <xdr:col>19</xdr:col>
      <xdr:colOff>478154</xdr:colOff>
      <xdr:row>59</xdr:row>
      <xdr:rowOff>178858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DF9CAC0D-3789-4B1A-9578-4110E4C5C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26BFFFED-E68C-4EA2-8323-4413D3DF8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969C1014-C606-464A-AB11-C001F6835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b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/>
      <sheetData sheetId="1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6.666666666666667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AL23"/>
  <sheetViews>
    <sheetView tabSelected="1" zoomScaleNormal="100" workbookViewId="0">
      <selection activeCell="S30" sqref="S30"/>
    </sheetView>
  </sheetViews>
  <sheetFormatPr defaultRowHeight="15"/>
  <cols>
    <col min="2" max="2" width="13.28515625" bestFit="1" customWidth="1"/>
    <col min="3" max="3" width="12.7109375" bestFit="1" customWidth="1"/>
    <col min="4" max="32" width="7.7109375" bestFit="1" customWidth="1"/>
  </cols>
  <sheetData>
    <row r="2" spans="1:38">
      <c r="C2">
        <f>(C10*C11*C6^2)/(2*C12)</f>
        <v>0.4333333333333334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38"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38"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38">
      <c r="B5" s="3" t="s">
        <v>0</v>
      </c>
      <c r="C5" s="1">
        <v>0.1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38">
      <c r="B6" s="4" t="s">
        <v>1</v>
      </c>
      <c r="C6" s="7">
        <f>C5/30</f>
        <v>3.3333333333333335E-3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38">
      <c r="B7" s="3" t="s">
        <v>2</v>
      </c>
      <c r="C7" s="1">
        <v>5</v>
      </c>
    </row>
    <row r="8" spans="1:38">
      <c r="B8" s="3" t="s">
        <v>3</v>
      </c>
      <c r="C8" s="1">
        <v>40</v>
      </c>
      <c r="D8" s="10">
        <v>45</v>
      </c>
    </row>
    <row r="9" spans="1:38">
      <c r="A9" s="5"/>
      <c r="B9" s="6"/>
      <c r="C9" s="5"/>
      <c r="D9" s="5"/>
    </row>
    <row r="10" spans="1:38">
      <c r="B10" s="3" t="s">
        <v>4</v>
      </c>
      <c r="C10" s="1">
        <v>460</v>
      </c>
    </row>
    <row r="11" spans="1:38">
      <c r="B11" s="3" t="s">
        <v>5</v>
      </c>
      <c r="C11" s="1">
        <v>7800</v>
      </c>
      <c r="G11" s="1" t="s">
        <v>10</v>
      </c>
      <c r="H11" s="1"/>
      <c r="I11" s="1">
        <f>I13*J11+I14</f>
        <v>228.89583574417387</v>
      </c>
      <c r="J11" s="1">
        <f t="shared" ref="J11:AJ11" si="0">J13*K11+J14</f>
        <v>181.86694968400451</v>
      </c>
      <c r="K11" s="1">
        <f t="shared" si="0"/>
        <v>150.76166823572925</v>
      </c>
      <c r="L11" s="1">
        <f t="shared" si="0"/>
        <v>130.18840928164707</v>
      </c>
      <c r="M11" s="1">
        <f t="shared" si="0"/>
        <v>116.58114126971702</v>
      </c>
      <c r="N11" s="1">
        <f t="shared" si="0"/>
        <v>107.58127107787129</v>
      </c>
      <c r="O11" s="1">
        <f t="shared" si="0"/>
        <v>101.62882120618991</v>
      </c>
      <c r="P11" s="1">
        <f t="shared" si="0"/>
        <v>97.692033676914789</v>
      </c>
      <c r="Q11" s="1">
        <f t="shared" si="0"/>
        <v>95.088531984971567</v>
      </c>
      <c r="R11" s="1">
        <f t="shared" si="0"/>
        <v>93.367042503756736</v>
      </c>
      <c r="S11" s="1">
        <f t="shared" si="0"/>
        <v>92.229173723193071</v>
      </c>
      <c r="T11" s="1">
        <f t="shared" si="0"/>
        <v>91.47769505464953</v>
      </c>
      <c r="U11" s="1">
        <f t="shared" si="0"/>
        <v>90.982350195578576</v>
      </c>
      <c r="V11" s="1">
        <f t="shared" si="0"/>
        <v>90.657279370407906</v>
      </c>
      <c r="W11" s="1">
        <f t="shared" si="0"/>
        <v>90.44613696944127</v>
      </c>
      <c r="X11" s="1">
        <f t="shared" si="0"/>
        <v>90.312324976511121</v>
      </c>
      <c r="Y11" s="1">
        <f t="shared" si="0"/>
        <v>90.232649312842881</v>
      </c>
      <c r="Z11" s="1">
        <f t="shared" si="0"/>
        <v>90.193299530067421</v>
      </c>
      <c r="AA11" s="1">
        <f t="shared" si="0"/>
        <v>90.187454999170313</v>
      </c>
      <c r="AB11" s="1">
        <f t="shared" si="0"/>
        <v>90.214102668129385</v>
      </c>
      <c r="AC11" s="1">
        <f t="shared" si="0"/>
        <v>90.277861466230888</v>
      </c>
      <c r="AD11" s="1">
        <f t="shared" si="0"/>
        <v>90.389782918479085</v>
      </c>
      <c r="AE11" s="1">
        <f t="shared" si="0"/>
        <v>90.569266743263654</v>
      </c>
      <c r="AF11" s="1">
        <f t="shared" si="0"/>
        <v>90.847423470213926</v>
      </c>
      <c r="AG11" s="1">
        <f t="shared" si="0"/>
        <v>91.272466932001279</v>
      </c>
      <c r="AH11" s="1">
        <f t="shared" si="0"/>
        <v>91.918071328668844</v>
      </c>
      <c r="AI11" s="1">
        <f t="shared" si="0"/>
        <v>92.896141422305675</v>
      </c>
      <c r="AJ11" s="1">
        <f t="shared" si="0"/>
        <v>94.376209362475507</v>
      </c>
      <c r="AK11" s="1">
        <f>AK13*AL11+AK14</f>
        <v>96.614820258807754</v>
      </c>
      <c r="AL11" s="8">
        <f>AF22</f>
        <v>100</v>
      </c>
    </row>
    <row r="12" spans="1:38">
      <c r="B12" s="3" t="s">
        <v>6</v>
      </c>
      <c r="C12" s="1">
        <v>46</v>
      </c>
      <c r="G12" s="1" t="s">
        <v>15</v>
      </c>
      <c r="H12" s="1">
        <f t="shared" ref="H12:AK12" si="1">-$C$11*$C$10/$C$7*B22</f>
        <v>-215280000</v>
      </c>
      <c r="I12" s="1">
        <f t="shared" si="1"/>
        <v>-64584000</v>
      </c>
      <c r="J12" s="1">
        <f t="shared" si="1"/>
        <v>-64584000</v>
      </c>
      <c r="K12" s="1">
        <f t="shared" si="1"/>
        <v>-64584000</v>
      </c>
      <c r="L12" s="1">
        <f t="shared" si="1"/>
        <v>-64584000</v>
      </c>
      <c r="M12" s="1">
        <f t="shared" si="1"/>
        <v>-64584000</v>
      </c>
      <c r="N12" s="1">
        <f t="shared" si="1"/>
        <v>-64584000</v>
      </c>
      <c r="O12" s="1">
        <f t="shared" si="1"/>
        <v>-64584000</v>
      </c>
      <c r="P12" s="1">
        <f t="shared" si="1"/>
        <v>-64584000</v>
      </c>
      <c r="Q12" s="1">
        <f t="shared" si="1"/>
        <v>-64584000</v>
      </c>
      <c r="R12" s="1">
        <f t="shared" si="1"/>
        <v>-64584000</v>
      </c>
      <c r="S12" s="1">
        <f t="shared" si="1"/>
        <v>-64584000</v>
      </c>
      <c r="T12" s="1">
        <f t="shared" si="1"/>
        <v>-64584000</v>
      </c>
      <c r="U12" s="1">
        <f t="shared" si="1"/>
        <v>-64584000</v>
      </c>
      <c r="V12" s="1">
        <f t="shared" si="1"/>
        <v>-64584000</v>
      </c>
      <c r="W12" s="1">
        <f t="shared" si="1"/>
        <v>-64584000</v>
      </c>
      <c r="X12" s="1">
        <f t="shared" si="1"/>
        <v>-64584000</v>
      </c>
      <c r="Y12" s="1">
        <f t="shared" si="1"/>
        <v>-64584000</v>
      </c>
      <c r="Z12" s="1">
        <f t="shared" si="1"/>
        <v>-64584000</v>
      </c>
      <c r="AA12" s="1">
        <f t="shared" si="1"/>
        <v>-64584000</v>
      </c>
      <c r="AB12" s="1">
        <f t="shared" si="1"/>
        <v>-64584000</v>
      </c>
      <c r="AC12" s="1">
        <f t="shared" si="1"/>
        <v>-64584000</v>
      </c>
      <c r="AD12" s="1">
        <f t="shared" si="1"/>
        <v>-64584000</v>
      </c>
      <c r="AE12" s="1">
        <f t="shared" si="1"/>
        <v>-64584000</v>
      </c>
      <c r="AF12" s="1">
        <f t="shared" si="1"/>
        <v>-64584000</v>
      </c>
      <c r="AG12" s="1">
        <f t="shared" si="1"/>
        <v>-64584000</v>
      </c>
      <c r="AH12" s="1">
        <f t="shared" si="1"/>
        <v>-64584000</v>
      </c>
      <c r="AI12" s="1">
        <f t="shared" si="1"/>
        <v>-64584000</v>
      </c>
      <c r="AJ12" s="1">
        <f t="shared" si="1"/>
        <v>-64584000</v>
      </c>
      <c r="AK12" s="1">
        <f t="shared" si="1"/>
        <v>-64584000</v>
      </c>
      <c r="AL12" s="1"/>
    </row>
    <row r="13" spans="1:38">
      <c r="B13" s="3" t="s">
        <v>8</v>
      </c>
      <c r="C13" s="1">
        <v>300</v>
      </c>
      <c r="G13" s="8" t="s">
        <v>11</v>
      </c>
      <c r="H13" s="1">
        <v>0</v>
      </c>
      <c r="I13" s="1">
        <f>$C$15/($C$16+$C$17*H13)</f>
        <v>0.46012269938650308</v>
      </c>
      <c r="J13" s="1">
        <f>$C$15/($C$16-$C$17*I13)</f>
        <v>0.58369938884644768</v>
      </c>
      <c r="K13" s="1">
        <f t="shared" ref="K13:AK13" si="2">$C$15/($C$16-$C$17*J13)</f>
        <v>0.6290756456655735</v>
      </c>
      <c r="L13" s="1">
        <f t="shared" si="2"/>
        <v>0.64756031845324091</v>
      </c>
      <c r="M13" s="1">
        <f t="shared" si="2"/>
        <v>0.65540548315346114</v>
      </c>
      <c r="N13" s="1">
        <f t="shared" si="2"/>
        <v>0.65879284043803632</v>
      </c>
      <c r="O13" s="1">
        <f t="shared" si="2"/>
        <v>0.66026626867422533</v>
      </c>
      <c r="P13" s="1">
        <f t="shared" si="2"/>
        <v>0.66090923750646746</v>
      </c>
      <c r="Q13" s="1">
        <f t="shared" si="2"/>
        <v>0.66119020634439474</v>
      </c>
      <c r="R13" s="1">
        <f t="shared" si="2"/>
        <v>0.66131306101377729</v>
      </c>
      <c r="S13" s="1">
        <f t="shared" si="2"/>
        <v>0.66136679402183063</v>
      </c>
      <c r="T13" s="1">
        <f t="shared" si="2"/>
        <v>0.66139029799916438</v>
      </c>
      <c r="U13" s="1">
        <f t="shared" si="2"/>
        <v>0.66140057967129717</v>
      </c>
      <c r="V13" s="1">
        <f t="shared" si="2"/>
        <v>0.66140507742683052</v>
      </c>
      <c r="W13" s="1">
        <f t="shared" si="2"/>
        <v>0.66140704500587066</v>
      </c>
      <c r="X13" s="1">
        <f t="shared" si="2"/>
        <v>0.66140790574269959</v>
      </c>
      <c r="Y13" s="1">
        <f t="shared" si="2"/>
        <v>0.66140828228120663</v>
      </c>
      <c r="Z13" s="1">
        <f t="shared" si="2"/>
        <v>0.66140844700212786</v>
      </c>
      <c r="AA13" s="1">
        <f t="shared" si="2"/>
        <v>0.66140851906113662</v>
      </c>
      <c r="AB13" s="1">
        <f t="shared" si="2"/>
        <v>0.6614085505841607</v>
      </c>
      <c r="AC13" s="1">
        <f t="shared" si="2"/>
        <v>0.66140856437426321</v>
      </c>
      <c r="AD13" s="1">
        <f t="shared" si="2"/>
        <v>0.66140857040689915</v>
      </c>
      <c r="AE13" s="1">
        <f t="shared" si="2"/>
        <v>0.66140857304594403</v>
      </c>
      <c r="AF13" s="1">
        <f t="shared" si="2"/>
        <v>0.66140857420042398</v>
      </c>
      <c r="AG13" s="1">
        <f t="shared" si="2"/>
        <v>0.66140857470546432</v>
      </c>
      <c r="AH13" s="1">
        <f t="shared" si="2"/>
        <v>0.66140857492639993</v>
      </c>
      <c r="AI13" s="1">
        <f t="shared" si="2"/>
        <v>0.66140857502305062</v>
      </c>
      <c r="AJ13" s="1">
        <f t="shared" si="2"/>
        <v>0.66140857506533157</v>
      </c>
      <c r="AK13" s="1">
        <f t="shared" si="2"/>
        <v>0.66140857508382789</v>
      </c>
      <c r="AL13" s="1"/>
    </row>
    <row r="14" spans="1:38">
      <c r="B14" s="3" t="s">
        <v>9</v>
      </c>
      <c r="C14" s="1">
        <v>100</v>
      </c>
      <c r="G14" s="8" t="s">
        <v>16</v>
      </c>
      <c r="H14" s="1">
        <f>$C$13</f>
        <v>300</v>
      </c>
      <c r="I14" s="1">
        <f>(H14*$C$17-I12)/($C$16-$C$17*H13)</f>
        <v>145.21472392638037</v>
      </c>
      <c r="J14" s="1">
        <f t="shared" ref="J14:AK14" si="3">(I14*$C$17-J12)/($C$16-$C$17*I13)</f>
        <v>93.867456073338431</v>
      </c>
      <c r="K14" s="1">
        <f t="shared" si="3"/>
        <v>68.863310608703173</v>
      </c>
      <c r="L14" s="1">
        <f t="shared" si="3"/>
        <v>54.695088315386826</v>
      </c>
      <c r="M14" s="1">
        <f t="shared" si="3"/>
        <v>46.071786320661325</v>
      </c>
      <c r="N14" s="1">
        <f t="shared" si="3"/>
        <v>40.628931285076106</v>
      </c>
      <c r="O14" s="1">
        <f t="shared" si="3"/>
        <v>37.126066651136618</v>
      </c>
      <c r="P14" s="1">
        <f t="shared" si="3"/>
        <v>34.847144507117889</v>
      </c>
      <c r="Q14" s="1">
        <f t="shared" si="3"/>
        <v>33.355157886146777</v>
      </c>
      <c r="R14" s="1">
        <f t="shared" si="3"/>
        <v>32.374685314100489</v>
      </c>
      <c r="S14" s="1">
        <f t="shared" si="3"/>
        <v>31.728863820392839</v>
      </c>
      <c r="T14" s="1">
        <f t="shared" si="3"/>
        <v>31.302851346131487</v>
      </c>
      <c r="U14" s="1">
        <f t="shared" si="3"/>
        <v>31.021573068568053</v>
      </c>
      <c r="V14" s="1">
        <f t="shared" si="3"/>
        <v>30.83574514517689</v>
      </c>
      <c r="W14" s="1">
        <f t="shared" si="3"/>
        <v>30.712928979117155</v>
      </c>
      <c r="X14" s="1">
        <f t="shared" si="3"/>
        <v>30.631737364888266</v>
      </c>
      <c r="Y14" s="1">
        <f t="shared" si="3"/>
        <v>30.578053997386629</v>
      </c>
      <c r="Z14" s="1">
        <f t="shared" si="3"/>
        <v>30.542554979991895</v>
      </c>
      <c r="AA14" s="1">
        <f t="shared" si="3"/>
        <v>30.519078955013516</v>
      </c>
      <c r="AB14" s="1">
        <f t="shared" si="3"/>
        <v>30.50355316591196</v>
      </c>
      <c r="AC14" s="1">
        <f t="shared" si="3"/>
        <v>30.493284912018346</v>
      </c>
      <c r="AD14" s="1">
        <f t="shared" si="3"/>
        <v>30.486493679015954</v>
      </c>
      <c r="AE14" s="1">
        <f t="shared" si="3"/>
        <v>30.482002020928864</v>
      </c>
      <c r="AF14" s="1">
        <f t="shared" si="3"/>
        <v>30.479031252963615</v>
      </c>
      <c r="AG14" s="1">
        <f t="shared" si="3"/>
        <v>30.477066384831208</v>
      </c>
      <c r="AH14" s="1">
        <f t="shared" si="3"/>
        <v>30.475766814380339</v>
      </c>
      <c r="AI14" s="1">
        <f t="shared" si="3"/>
        <v>30.474907271793668</v>
      </c>
      <c r="AJ14" s="1">
        <f t="shared" si="3"/>
        <v>30.474338764904335</v>
      </c>
      <c r="AK14" s="1">
        <f t="shared" si="3"/>
        <v>30.473962750424956</v>
      </c>
      <c r="AL14" s="1"/>
    </row>
    <row r="15" spans="1:38">
      <c r="B15" s="3" t="s">
        <v>12</v>
      </c>
      <c r="C15" s="1">
        <f>$C$12/($C$6)^2</f>
        <v>4139999.9999999991</v>
      </c>
    </row>
    <row r="16" spans="1:38">
      <c r="B16" s="3" t="s">
        <v>13</v>
      </c>
      <c r="C16" s="1">
        <f>(2*C12/(C6)^2)+(C11*C10/C7)</f>
        <v>8997599.9999999981</v>
      </c>
    </row>
    <row r="17" spans="1:32">
      <c r="B17" s="3" t="s">
        <v>14</v>
      </c>
      <c r="C17" s="1">
        <f>$C$12/($C$6)^2</f>
        <v>4139999.9999999991</v>
      </c>
    </row>
    <row r="18" spans="1:32">
      <c r="B18" s="1" t="s">
        <v>15</v>
      </c>
      <c r="C18" s="1">
        <f>-C11*C10/C7*B22</f>
        <v>-215280000</v>
      </c>
    </row>
    <row r="20" spans="1:32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>
      <c r="A21" s="1" t="s">
        <v>0</v>
      </c>
      <c r="B21" s="1">
        <v>0</v>
      </c>
      <c r="C21" s="2">
        <f>B21+$C$6</f>
        <v>3.3333333333333335E-3</v>
      </c>
      <c r="D21" s="2">
        <f t="shared" ref="D21:AF21" si="4">C21+$C$6</f>
        <v>6.6666666666666671E-3</v>
      </c>
      <c r="E21" s="2">
        <f t="shared" si="4"/>
        <v>0.01</v>
      </c>
      <c r="F21" s="2">
        <f t="shared" si="4"/>
        <v>1.3333333333333334E-2</v>
      </c>
      <c r="G21" s="2">
        <f t="shared" si="4"/>
        <v>1.6666666666666666E-2</v>
      </c>
      <c r="H21" s="2">
        <f t="shared" si="4"/>
        <v>0.02</v>
      </c>
      <c r="I21" s="2">
        <f t="shared" si="4"/>
        <v>2.3333333333333334E-2</v>
      </c>
      <c r="J21" s="2">
        <f t="shared" si="4"/>
        <v>2.6666666666666668E-2</v>
      </c>
      <c r="K21" s="2">
        <f t="shared" si="4"/>
        <v>3.0000000000000002E-2</v>
      </c>
      <c r="L21" s="2">
        <f t="shared" si="4"/>
        <v>3.3333333333333333E-2</v>
      </c>
      <c r="M21" s="2">
        <f t="shared" si="4"/>
        <v>3.6666666666666667E-2</v>
      </c>
      <c r="N21" s="2">
        <f t="shared" si="4"/>
        <v>0.04</v>
      </c>
      <c r="O21" s="2">
        <f t="shared" si="4"/>
        <v>4.3333333333333335E-2</v>
      </c>
      <c r="P21" s="2">
        <f t="shared" si="4"/>
        <v>4.6666666666666669E-2</v>
      </c>
      <c r="Q21" s="2">
        <f t="shared" si="4"/>
        <v>0.05</v>
      </c>
      <c r="R21" s="2">
        <f t="shared" si="4"/>
        <v>5.3333333333333337E-2</v>
      </c>
      <c r="S21" s="2">
        <f t="shared" si="4"/>
        <v>5.6666666666666671E-2</v>
      </c>
      <c r="T21" s="2">
        <f t="shared" si="4"/>
        <v>6.0000000000000005E-2</v>
      </c>
      <c r="U21" s="2">
        <f t="shared" si="4"/>
        <v>6.3333333333333339E-2</v>
      </c>
      <c r="V21" s="2">
        <f t="shared" si="4"/>
        <v>6.6666666666666666E-2</v>
      </c>
      <c r="W21" s="2">
        <f t="shared" si="4"/>
        <v>6.9999999999999993E-2</v>
      </c>
      <c r="X21" s="2">
        <f t="shared" si="4"/>
        <v>7.333333333333332E-2</v>
      </c>
      <c r="Y21" s="2">
        <f t="shared" si="4"/>
        <v>7.6666666666666647E-2</v>
      </c>
      <c r="Z21" s="2">
        <f t="shared" si="4"/>
        <v>7.9999999999999974E-2</v>
      </c>
      <c r="AA21" s="2">
        <f t="shared" si="4"/>
        <v>8.3333333333333301E-2</v>
      </c>
      <c r="AB21" s="2">
        <f t="shared" si="4"/>
        <v>8.6666666666666628E-2</v>
      </c>
      <c r="AC21" s="2">
        <f t="shared" si="4"/>
        <v>8.9999999999999955E-2</v>
      </c>
      <c r="AD21" s="2">
        <f t="shared" si="4"/>
        <v>9.3333333333333282E-2</v>
      </c>
      <c r="AE21" s="2">
        <f t="shared" si="4"/>
        <v>9.6666666666666609E-2</v>
      </c>
      <c r="AF21" s="2">
        <f t="shared" si="4"/>
        <v>9.9999999999999936E-2</v>
      </c>
    </row>
    <row r="22" spans="1:32">
      <c r="A22" s="1" t="s">
        <v>7</v>
      </c>
      <c r="B22" s="8">
        <f>C13</f>
        <v>300</v>
      </c>
      <c r="C22" s="8">
        <v>90</v>
      </c>
      <c r="D22" s="8">
        <v>90</v>
      </c>
      <c r="E22" s="8">
        <v>90</v>
      </c>
      <c r="F22" s="8">
        <v>90</v>
      </c>
      <c r="G22" s="8">
        <v>90</v>
      </c>
      <c r="H22" s="8">
        <v>90</v>
      </c>
      <c r="I22" s="8">
        <v>90</v>
      </c>
      <c r="J22" s="8">
        <v>90</v>
      </c>
      <c r="K22" s="8">
        <v>90</v>
      </c>
      <c r="L22" s="8">
        <v>90</v>
      </c>
      <c r="M22" s="8">
        <v>90</v>
      </c>
      <c r="N22" s="8">
        <v>90</v>
      </c>
      <c r="O22" s="8">
        <v>90</v>
      </c>
      <c r="P22" s="8">
        <v>90</v>
      </c>
      <c r="Q22" s="8">
        <v>90</v>
      </c>
      <c r="R22" s="8">
        <v>90</v>
      </c>
      <c r="S22" s="8">
        <v>90</v>
      </c>
      <c r="T22" s="8">
        <v>90</v>
      </c>
      <c r="U22" s="8">
        <v>90</v>
      </c>
      <c r="V22" s="8">
        <v>90</v>
      </c>
      <c r="W22" s="8">
        <v>90</v>
      </c>
      <c r="X22" s="8">
        <v>90</v>
      </c>
      <c r="Y22" s="8">
        <v>90</v>
      </c>
      <c r="Z22" s="8">
        <v>90</v>
      </c>
      <c r="AA22" s="8">
        <v>90</v>
      </c>
      <c r="AB22" s="8">
        <v>90</v>
      </c>
      <c r="AC22" s="8">
        <v>90</v>
      </c>
      <c r="AD22" s="8">
        <v>90</v>
      </c>
      <c r="AE22" s="8">
        <v>90</v>
      </c>
      <c r="AF22" s="8">
        <f>C14</f>
        <v>100</v>
      </c>
    </row>
    <row r="23" spans="1: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</sheetData>
  <conditionalFormatting sqref="B22:AF22">
    <cfRule type="colorScale" priority="1">
      <colorScale>
        <cfvo type="min" val="0"/>
        <cfvo type="percentile" val="50"/>
        <cfvo type="max" val="0"/>
        <color theme="8" tint="-0.249977111117893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0070C0"/>
        <color rgb="FFFFEB84"/>
        <color rgb="FFFF0000"/>
      </colorScale>
    </cfRule>
    <cfRule type="colorScale" priority="3">
      <colorScale>
        <cfvo type="min" val="0"/>
        <cfvo type="percentile" val="50"/>
        <cfvo type="max" val="0"/>
        <color rgb="FFFF0000"/>
        <color rgb="FFFFEB84"/>
        <color rgb="FF0070C0"/>
      </colorScale>
    </cfRule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F24"/>
  <sheetViews>
    <sheetView zoomScale="70" zoomScaleNormal="70" workbookViewId="0">
      <selection activeCell="C22" sqref="C22:AE22"/>
    </sheetView>
  </sheetViews>
  <sheetFormatPr defaultRowHeight="15"/>
  <sheetData>
    <row r="2" spans="2:5">
      <c r="E2">
        <f>(C10*C11*C6^2)/(2*C12)</f>
        <v>0.4333333333333334</v>
      </c>
    </row>
    <row r="5" spans="2:5">
      <c r="B5" s="3" t="s">
        <v>0</v>
      </c>
      <c r="C5" s="1">
        <v>0.1</v>
      </c>
    </row>
    <row r="6" spans="2:5">
      <c r="B6" s="4" t="s">
        <v>1</v>
      </c>
      <c r="C6" s="7">
        <f>C5/30</f>
        <v>3.3333333333333335E-3</v>
      </c>
    </row>
    <row r="7" spans="2:5">
      <c r="B7" s="3" t="s">
        <v>2</v>
      </c>
      <c r="C7" s="1">
        <f>(C10*C11*C6^2)/(2*C12)</f>
        <v>0.4333333333333334</v>
      </c>
    </row>
    <row r="8" spans="2:5">
      <c r="B8" s="3" t="s">
        <v>3</v>
      </c>
      <c r="C8" s="1">
        <f>'неявная схема'!C8</f>
        <v>40</v>
      </c>
      <c r="D8">
        <v>40.300000000000004</v>
      </c>
    </row>
    <row r="9" spans="2:5">
      <c r="B9" s="9"/>
    </row>
    <row r="10" spans="2:5">
      <c r="B10" s="3" t="s">
        <v>4</v>
      </c>
      <c r="C10" s="1">
        <v>460</v>
      </c>
    </row>
    <row r="11" spans="2:5">
      <c r="B11" s="3" t="s">
        <v>5</v>
      </c>
      <c r="C11" s="1">
        <v>7800</v>
      </c>
    </row>
    <row r="12" spans="2:5">
      <c r="B12" s="3" t="s">
        <v>6</v>
      </c>
      <c r="C12" s="1">
        <v>46</v>
      </c>
    </row>
    <row r="13" spans="2:5">
      <c r="B13" s="1" t="s">
        <v>8</v>
      </c>
      <c r="C13" s="1">
        <f>'неявная схема'!C13</f>
        <v>300</v>
      </c>
    </row>
    <row r="14" spans="2:5">
      <c r="B14" s="1" t="s">
        <v>9</v>
      </c>
      <c r="C14" s="1">
        <f>'неявная схема'!C14</f>
        <v>100</v>
      </c>
    </row>
    <row r="15" spans="2:5">
      <c r="B15" s="1"/>
      <c r="C15" s="1"/>
    </row>
    <row r="20" spans="1:32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>
      <c r="A22" s="1" t="s">
        <v>7</v>
      </c>
      <c r="B22" s="1">
        <f>C13</f>
        <v>300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f>C14</f>
        <v>100</v>
      </c>
    </row>
    <row r="24" spans="1:32">
      <c r="A24" t="s">
        <v>10</v>
      </c>
      <c r="C24">
        <f>C22+($C12*$C7)/($C10*$C11)*((D22-2*C22+B22)/$C6^2)</f>
        <v>150</v>
      </c>
      <c r="D24">
        <f t="shared" ref="D24:AE24" si="1">D22+($C12*$C7)/($C10*$C11)*((E22-2*D22+C22)/$C6^2)</f>
        <v>0</v>
      </c>
      <c r="E24">
        <f t="shared" si="1"/>
        <v>0</v>
      </c>
      <c r="F24">
        <f t="shared" si="1"/>
        <v>0</v>
      </c>
      <c r="G24">
        <f t="shared" si="1"/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>
        <f t="shared" si="1"/>
        <v>0</v>
      </c>
      <c r="R24">
        <f t="shared" si="1"/>
        <v>0</v>
      </c>
      <c r="S24">
        <f t="shared" si="1"/>
        <v>0</v>
      </c>
      <c r="T24">
        <f t="shared" si="1"/>
        <v>0</v>
      </c>
      <c r="U24">
        <f t="shared" si="1"/>
        <v>0</v>
      </c>
      <c r="V24">
        <f t="shared" si="1"/>
        <v>0</v>
      </c>
      <c r="W24">
        <f t="shared" si="1"/>
        <v>0</v>
      </c>
      <c r="X24">
        <f t="shared" si="1"/>
        <v>0</v>
      </c>
      <c r="Y24">
        <f t="shared" si="1"/>
        <v>0</v>
      </c>
      <c r="Z24">
        <f t="shared" si="1"/>
        <v>0</v>
      </c>
      <c r="AA24">
        <f t="shared" si="1"/>
        <v>0</v>
      </c>
      <c r="AB24">
        <f t="shared" si="1"/>
        <v>0</v>
      </c>
      <c r="AC24">
        <f t="shared" si="1"/>
        <v>0</v>
      </c>
      <c r="AD24">
        <f t="shared" si="1"/>
        <v>0</v>
      </c>
      <c r="AE24">
        <f t="shared" si="1"/>
        <v>50</v>
      </c>
    </row>
  </sheetData>
  <conditionalFormatting sqref="B22:AF22">
    <cfRule type="colorScale" priority="1">
      <colorScale>
        <cfvo type="min" val="0"/>
        <cfvo type="percentile" val="50"/>
        <cfvo type="max" val="0"/>
        <color theme="8" tint="-0.249977111117893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0070C0"/>
        <color rgb="FFFFEB84"/>
        <color rgb="FFFF0000"/>
      </colorScale>
    </cfRule>
    <cfRule type="colorScale" priority="3">
      <colorScale>
        <cfvo type="min" val="0"/>
        <cfvo type="percentile" val="50"/>
        <cfvo type="max" val="0"/>
        <color rgb="FFFF0000"/>
        <color rgb="FFFFEB84"/>
        <color rgb="FF0070C0"/>
      </colorScale>
    </cfRule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F27"/>
  <sheetViews>
    <sheetView workbookViewId="0">
      <selection activeCell="C22" sqref="C22:AE22"/>
    </sheetView>
  </sheetViews>
  <sheetFormatPr defaultRowHeight="15"/>
  <cols>
    <col min="2" max="2" width="13.28515625" bestFit="1" customWidth="1"/>
    <col min="3" max="3" width="12.7109375" bestFit="1" customWidth="1"/>
    <col min="4" max="32" width="7.7109375" bestFit="1" customWidth="1"/>
  </cols>
  <sheetData>
    <row r="2" spans="1:5">
      <c r="E2">
        <f>(C10*C11*C6^2)/(2*C12)</f>
        <v>0.4333333333333334</v>
      </c>
    </row>
    <row r="5" spans="1:5">
      <c r="B5" s="3" t="s">
        <v>0</v>
      </c>
      <c r="C5" s="1">
        <v>0.1</v>
      </c>
    </row>
    <row r="6" spans="1:5">
      <c r="B6" s="4" t="s">
        <v>1</v>
      </c>
      <c r="C6" s="7">
        <f>C5/30</f>
        <v>3.3333333333333335E-3</v>
      </c>
    </row>
    <row r="7" spans="1:5">
      <c r="B7" s="3" t="s">
        <v>2</v>
      </c>
      <c r="C7" s="1">
        <v>0.433</v>
      </c>
    </row>
    <row r="8" spans="1:5">
      <c r="B8" s="3" t="s">
        <v>3</v>
      </c>
      <c r="C8" s="1">
        <v>2200</v>
      </c>
      <c r="D8" s="10">
        <v>3.0310000000000001</v>
      </c>
    </row>
    <row r="9" spans="1:5">
      <c r="A9" s="5"/>
      <c r="B9" s="3" t="s">
        <v>18</v>
      </c>
      <c r="C9" s="1">
        <v>92000</v>
      </c>
      <c r="D9" s="5"/>
    </row>
    <row r="10" spans="1:5">
      <c r="B10" s="3" t="s">
        <v>4</v>
      </c>
      <c r="C10" s="1">
        <v>460</v>
      </c>
    </row>
    <row r="11" spans="1:5">
      <c r="B11" s="3" t="s">
        <v>5</v>
      </c>
      <c r="C11" s="1">
        <v>7800</v>
      </c>
    </row>
    <row r="12" spans="1:5">
      <c r="B12" s="3" t="s">
        <v>6</v>
      </c>
      <c r="C12" s="1">
        <v>46</v>
      </c>
    </row>
    <row r="13" spans="1:5">
      <c r="B13" s="3" t="s">
        <v>8</v>
      </c>
      <c r="C13" s="1">
        <v>300</v>
      </c>
    </row>
    <row r="14" spans="1:5">
      <c r="B14" s="3" t="s">
        <v>9</v>
      </c>
      <c r="C14" s="1">
        <v>100</v>
      </c>
    </row>
    <row r="15" spans="1:5">
      <c r="B15" s="3" t="s">
        <v>12</v>
      </c>
      <c r="C15" s="1">
        <f>$C$12/($C$6)^2</f>
        <v>4139999.9999999991</v>
      </c>
    </row>
    <row r="16" spans="1:5">
      <c r="B16" s="3" t="s">
        <v>13</v>
      </c>
      <c r="C16" s="1">
        <f>(2*C12/(C6)^2)+(C11*C10/C7)</f>
        <v>16566374.13394919</v>
      </c>
    </row>
    <row r="17" spans="1:32">
      <c r="B17" s="3" t="s">
        <v>14</v>
      </c>
      <c r="C17" s="1">
        <f>$C$12/($C$6)^2</f>
        <v>4139999.9999999991</v>
      </c>
    </row>
    <row r="18" spans="1:32">
      <c r="B18" s="1" t="s">
        <v>15</v>
      </c>
      <c r="C18" s="1">
        <f>-C11*C10/C7*B22</f>
        <v>-55242494.226327941</v>
      </c>
    </row>
    <row r="20" spans="1:32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>
      <c r="A22" s="1" t="s">
        <v>7</v>
      </c>
      <c r="B22" s="8">
        <f>(B23/C12)*C6+C22</f>
        <v>6.666666666666667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f>C14</f>
        <v>100</v>
      </c>
    </row>
    <row r="23" spans="1:32">
      <c r="A23" s="1" t="s">
        <v>17</v>
      </c>
      <c r="B23" s="1">
        <f>C9</f>
        <v>92000</v>
      </c>
      <c r="C23" s="1">
        <f>-$C$12*(C22-B22)/$C$6</f>
        <v>92000</v>
      </c>
      <c r="D23" s="1">
        <f t="shared" ref="D23:AF23" si="1">-$C$12*(D22-C22)/$C$6</f>
        <v>0</v>
      </c>
      <c r="E23" s="1">
        <f t="shared" si="1"/>
        <v>0</v>
      </c>
      <c r="F23" s="1">
        <f t="shared" si="1"/>
        <v>0</v>
      </c>
      <c r="G23" s="1">
        <f t="shared" si="1"/>
        <v>0</v>
      </c>
      <c r="H23" s="1">
        <f t="shared" si="1"/>
        <v>0</v>
      </c>
      <c r="I23" s="1">
        <f t="shared" si="1"/>
        <v>0</v>
      </c>
      <c r="J23" s="1">
        <f t="shared" si="1"/>
        <v>0</v>
      </c>
      <c r="K23" s="1">
        <f t="shared" si="1"/>
        <v>0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  <c r="P23" s="1">
        <f t="shared" si="1"/>
        <v>0</v>
      </c>
      <c r="Q23" s="1">
        <f t="shared" si="1"/>
        <v>0</v>
      </c>
      <c r="R23" s="1">
        <f t="shared" si="1"/>
        <v>0</v>
      </c>
      <c r="S23" s="1">
        <f t="shared" si="1"/>
        <v>0</v>
      </c>
      <c r="T23" s="1">
        <f t="shared" si="1"/>
        <v>0</v>
      </c>
      <c r="U23" s="1">
        <f t="shared" si="1"/>
        <v>0</v>
      </c>
      <c r="V23" s="1">
        <f t="shared" si="1"/>
        <v>0</v>
      </c>
      <c r="W23" s="1">
        <f t="shared" si="1"/>
        <v>0</v>
      </c>
      <c r="X23" s="1">
        <f t="shared" si="1"/>
        <v>0</v>
      </c>
      <c r="Y23" s="1">
        <f t="shared" si="1"/>
        <v>0</v>
      </c>
      <c r="Z23" s="1">
        <f t="shared" si="1"/>
        <v>0</v>
      </c>
      <c r="AA23" s="1">
        <f t="shared" si="1"/>
        <v>0</v>
      </c>
      <c r="AB23" s="1">
        <f t="shared" si="1"/>
        <v>0</v>
      </c>
      <c r="AC23" s="1">
        <f t="shared" si="1"/>
        <v>0</v>
      </c>
      <c r="AD23" s="1">
        <f t="shared" si="1"/>
        <v>0</v>
      </c>
      <c r="AE23" s="1">
        <f t="shared" si="1"/>
        <v>0</v>
      </c>
      <c r="AF23" s="1">
        <f t="shared" si="1"/>
        <v>-1380000</v>
      </c>
    </row>
    <row r="24" spans="1:32">
      <c r="A24" s="1" t="s">
        <v>10</v>
      </c>
      <c r="B24" s="1"/>
      <c r="C24" s="1">
        <f>C26*D24+C27</f>
        <v>80.349047221223955</v>
      </c>
      <c r="D24" s="1">
        <f t="shared" ref="D24:AD24" si="2">D26*E24+D27</f>
        <v>21.519897964528266</v>
      </c>
      <c r="E24" s="1">
        <f t="shared" si="2"/>
        <v>5.7636776591593772</v>
      </c>
      <c r="F24" s="1">
        <f t="shared" si="2"/>
        <v>1.5436866946791581</v>
      </c>
      <c r="G24" s="1">
        <f t="shared" si="2"/>
        <v>0.4134458504189642</v>
      </c>
      <c r="H24" s="1">
        <f t="shared" si="2"/>
        <v>0.1107332671974979</v>
      </c>
      <c r="I24" s="1">
        <f t="shared" si="2"/>
        <v>2.9657708389807302E-2</v>
      </c>
      <c r="J24" s="1">
        <f t="shared" si="2"/>
        <v>7.943228730306855E-3</v>
      </c>
      <c r="K24" s="1">
        <f t="shared" si="2"/>
        <v>2.12743629082013E-3</v>
      </c>
      <c r="L24" s="1">
        <f t="shared" si="2"/>
        <v>5.6979193149686938E-4</v>
      </c>
      <c r="M24" s="1">
        <f t="shared" si="2"/>
        <v>1.5260871296795894E-4</v>
      </c>
      <c r="N24" s="1">
        <f t="shared" si="2"/>
        <v>4.0877883751360593E-5</v>
      </c>
      <c r="O24" s="1">
        <f t="shared" si="2"/>
        <v>1.0965759502843541E-5</v>
      </c>
      <c r="P24" s="1">
        <f t="shared" si="2"/>
        <v>3.0020376464690629E-6</v>
      </c>
      <c r="Q24" s="1">
        <f t="shared" si="2"/>
        <v>1.0470131579310498E-6</v>
      </c>
      <c r="R24" s="1">
        <f t="shared" si="2"/>
        <v>1.1876270147515662E-6</v>
      </c>
      <c r="S24" s="1">
        <f t="shared" si="2"/>
        <v>3.7053234261171734E-6</v>
      </c>
      <c r="T24" s="1">
        <f t="shared" si="2"/>
        <v>1.3639371575669581E-5</v>
      </c>
      <c r="U24" s="1">
        <f t="shared" si="2"/>
        <v>5.0873162678833165E-5</v>
      </c>
      <c r="V24" s="1">
        <f t="shared" si="2"/>
        <v>1.8993160579505773E-4</v>
      </c>
      <c r="W24" s="1">
        <f t="shared" si="2"/>
        <v>7.0914568791601679E-4</v>
      </c>
      <c r="X24" s="1">
        <f t="shared" si="2"/>
        <v>2.647742979106756E-3</v>
      </c>
      <c r="Y24" s="1">
        <f t="shared" si="2"/>
        <v>9.8859028150839207E-3</v>
      </c>
      <c r="Z24" s="1">
        <f t="shared" si="2"/>
        <v>3.6911089070782561E-2</v>
      </c>
      <c r="AA24" s="1">
        <f t="shared" si="2"/>
        <v>0.1378152834743139</v>
      </c>
      <c r="AB24" s="1">
        <f t="shared" si="2"/>
        <v>0.51456223156007475</v>
      </c>
      <c r="AC24" s="1">
        <f t="shared" si="2"/>
        <v>1.9212258863865548</v>
      </c>
      <c r="AD24" s="1">
        <f t="shared" si="2"/>
        <v>7.1732993215094503</v>
      </c>
      <c r="AE24" s="1">
        <f>AE26*AF24+AE27</f>
        <v>26.783015740407997</v>
      </c>
      <c r="AF24" s="8">
        <f>AF22</f>
        <v>100</v>
      </c>
    </row>
    <row r="25" spans="1:32">
      <c r="A25" s="1" t="s">
        <v>15</v>
      </c>
      <c r="B25" s="1">
        <f>-$C$11*$C$10/$C$7*B22</f>
        <v>-55242494.226327941</v>
      </c>
      <c r="C25" s="1">
        <f>-$C$11*$C$10/$C$7*C22</f>
        <v>0</v>
      </c>
      <c r="D25" s="1">
        <f>-$C$11*$C$10/$C$7*D22</f>
        <v>0</v>
      </c>
      <c r="E25" s="1">
        <f t="shared" ref="E25:AE25" si="3">-$C$11*$C$10/$C$7*E22</f>
        <v>0</v>
      </c>
      <c r="F25" s="1">
        <f t="shared" si="3"/>
        <v>0</v>
      </c>
      <c r="G25" s="1">
        <f t="shared" si="3"/>
        <v>0</v>
      </c>
      <c r="H25" s="1">
        <f t="shared" si="3"/>
        <v>0</v>
      </c>
      <c r="I25" s="1">
        <f t="shared" si="3"/>
        <v>0</v>
      </c>
      <c r="J25" s="1">
        <f t="shared" si="3"/>
        <v>0</v>
      </c>
      <c r="K25" s="1">
        <f t="shared" si="3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P25" s="1">
        <f t="shared" si="3"/>
        <v>0</v>
      </c>
      <c r="Q25" s="1">
        <f t="shared" si="3"/>
        <v>0</v>
      </c>
      <c r="R25" s="1">
        <f t="shared" si="3"/>
        <v>0</v>
      </c>
      <c r="S25" s="1">
        <f t="shared" si="3"/>
        <v>0</v>
      </c>
      <c r="T25" s="1">
        <f t="shared" si="3"/>
        <v>0</v>
      </c>
      <c r="U25" s="1">
        <f t="shared" si="3"/>
        <v>0</v>
      </c>
      <c r="V25" s="1">
        <f t="shared" si="3"/>
        <v>0</v>
      </c>
      <c r="W25" s="1">
        <f t="shared" si="3"/>
        <v>0</v>
      </c>
      <c r="X25" s="1">
        <f t="shared" si="3"/>
        <v>0</v>
      </c>
      <c r="Y25" s="1">
        <f t="shared" si="3"/>
        <v>0</v>
      </c>
      <c r="Z25" s="1">
        <f t="shared" si="3"/>
        <v>0</v>
      </c>
      <c r="AA25" s="1">
        <f t="shared" si="3"/>
        <v>0</v>
      </c>
      <c r="AB25" s="1">
        <f t="shared" si="3"/>
        <v>0</v>
      </c>
      <c r="AC25" s="1">
        <f t="shared" si="3"/>
        <v>0</v>
      </c>
      <c r="AD25" s="1">
        <f t="shared" si="3"/>
        <v>0</v>
      </c>
      <c r="AE25" s="1">
        <f t="shared" si="3"/>
        <v>0</v>
      </c>
      <c r="AF25" s="1"/>
    </row>
    <row r="26" spans="1:32">
      <c r="A26" s="8" t="s">
        <v>11</v>
      </c>
      <c r="B26" s="1">
        <v>0</v>
      </c>
      <c r="C26" s="1">
        <f>$C$15/($C$16+$C$17*B26)</f>
        <v>0.24990380915736818</v>
      </c>
      <c r="D26" s="1">
        <f>$C$15/($C$16-$C$17*C26)</f>
        <v>0.26655039122165913</v>
      </c>
      <c r="E26" s="1">
        <f t="shared" ref="E26:AE26" si="4">$C$15/($C$16-$C$17*D26)</f>
        <v>0.26773838740028388</v>
      </c>
      <c r="F26" s="1">
        <f t="shared" si="4"/>
        <v>0.26782357462881679</v>
      </c>
      <c r="G26" s="1">
        <f t="shared" si="4"/>
        <v>0.26782968520273909</v>
      </c>
      <c r="H26" s="1">
        <f t="shared" si="4"/>
        <v>0.26783012353166857</v>
      </c>
      <c r="I26" s="1">
        <f t="shared" si="4"/>
        <v>0.26783015497431045</v>
      </c>
      <c r="J26" s="1">
        <f t="shared" si="4"/>
        <v>0.26783015722978526</v>
      </c>
      <c r="K26" s="1">
        <f t="shared" si="4"/>
        <v>0.26783015739157723</v>
      </c>
      <c r="L26" s="1">
        <f t="shared" si="4"/>
        <v>0.267830157403183</v>
      </c>
      <c r="M26" s="1">
        <f t="shared" si="4"/>
        <v>0.2678301574040155</v>
      </c>
      <c r="N26" s="1">
        <f t="shared" si="4"/>
        <v>0.26783015740407523</v>
      </c>
      <c r="O26" s="1">
        <f t="shared" si="4"/>
        <v>0.26783015740407956</v>
      </c>
      <c r="P26" s="1">
        <f t="shared" si="4"/>
        <v>0.26783015740407984</v>
      </c>
      <c r="Q26" s="1">
        <f t="shared" si="4"/>
        <v>0.26783015740407989</v>
      </c>
      <c r="R26" s="1">
        <f t="shared" si="4"/>
        <v>0.26783015740407989</v>
      </c>
      <c r="S26" s="1">
        <f t="shared" si="4"/>
        <v>0.26783015740407989</v>
      </c>
      <c r="T26" s="1">
        <f t="shared" si="4"/>
        <v>0.26783015740407989</v>
      </c>
      <c r="U26" s="1">
        <f t="shared" si="4"/>
        <v>0.26783015740407989</v>
      </c>
      <c r="V26" s="1">
        <f t="shared" si="4"/>
        <v>0.26783015740407989</v>
      </c>
      <c r="W26" s="1">
        <f t="shared" si="4"/>
        <v>0.26783015740407989</v>
      </c>
      <c r="X26" s="1">
        <f t="shared" si="4"/>
        <v>0.26783015740407989</v>
      </c>
      <c r="Y26" s="1">
        <f t="shared" si="4"/>
        <v>0.26783015740407989</v>
      </c>
      <c r="Z26" s="1">
        <f t="shared" si="4"/>
        <v>0.26783015740407989</v>
      </c>
      <c r="AA26" s="1">
        <f t="shared" si="4"/>
        <v>0.26783015740407989</v>
      </c>
      <c r="AB26" s="1">
        <f t="shared" si="4"/>
        <v>0.26783015740407989</v>
      </c>
      <c r="AC26" s="1">
        <f t="shared" si="4"/>
        <v>0.26783015740407989</v>
      </c>
      <c r="AD26" s="1">
        <f t="shared" si="4"/>
        <v>0.26783015740407989</v>
      </c>
      <c r="AE26" s="1">
        <f t="shared" si="4"/>
        <v>0.26783015740407989</v>
      </c>
      <c r="AF26" s="1"/>
    </row>
    <row r="27" spans="1:32">
      <c r="A27" s="8" t="s">
        <v>16</v>
      </c>
      <c r="B27" s="1">
        <f>$C$13</f>
        <v>300</v>
      </c>
      <c r="C27" s="1">
        <f>(B27*$C$17-C25)/($C$16-$C$17*B26)</f>
        <v>74.97114274721045</v>
      </c>
      <c r="D27" s="1">
        <f t="shared" ref="D27:AE27" si="5">(C27*$C$17-D25)/($C$16-$C$17*C26)</f>
        <v>19.983587429603798</v>
      </c>
      <c r="E27" s="1">
        <f t="shared" si="5"/>
        <v>5.350373472874705</v>
      </c>
      <c r="F27" s="1">
        <f t="shared" si="5"/>
        <v>1.4329561491045</v>
      </c>
      <c r="G27" s="1">
        <f t="shared" si="5"/>
        <v>0.38378819432398753</v>
      </c>
      <c r="H27" s="1">
        <f t="shared" si="5"/>
        <v>0.1027900394957896</v>
      </c>
      <c r="I27" s="1">
        <f t="shared" si="5"/>
        <v>2.7530272207972821E-2</v>
      </c>
      <c r="J27" s="1">
        <f t="shared" si="5"/>
        <v>7.373437134040148E-3</v>
      </c>
      <c r="K27" s="1">
        <f t="shared" si="5"/>
        <v>1.9748288281268727E-3</v>
      </c>
      <c r="L27" s="1">
        <f t="shared" si="5"/>
        <v>5.2891871588156374E-4</v>
      </c>
      <c r="M27" s="1">
        <f t="shared" si="5"/>
        <v>1.4166038292848899E-4</v>
      </c>
      <c r="N27" s="1">
        <f t="shared" si="5"/>
        <v>3.7940922657658777E-5</v>
      </c>
      <c r="O27" s="1">
        <f t="shared" si="5"/>
        <v>1.0161723287456759E-5</v>
      </c>
      <c r="P27" s="1">
        <f t="shared" si="5"/>
        <v>2.7216159475762474E-6</v>
      </c>
      <c r="Q27" s="1">
        <f t="shared" si="5"/>
        <v>7.2893082763280035E-7</v>
      </c>
      <c r="R27" s="1">
        <f t="shared" si="5"/>
        <v>1.9522965830157913E-7</v>
      </c>
      <c r="S27" s="1">
        <f t="shared" si="5"/>
        <v>5.2288390112856668E-8</v>
      </c>
      <c r="T27" s="1">
        <f t="shared" si="5"/>
        <v>1.4004407754332336E-8</v>
      </c>
      <c r="U27" s="1">
        <f t="shared" si="5"/>
        <v>3.7508027331937463E-9</v>
      </c>
      <c r="V27" s="1">
        <f t="shared" si="5"/>
        <v>1.0045780864229342E-9</v>
      </c>
      <c r="W27" s="1">
        <f t="shared" si="5"/>
        <v>2.6905630701134382E-10</v>
      </c>
      <c r="X27" s="1">
        <f t="shared" si="5"/>
        <v>7.2061393057408652E-11</v>
      </c>
      <c r="Y27" s="1">
        <f t="shared" si="5"/>
        <v>1.930021424532303E-11</v>
      </c>
      <c r="Z27" s="1">
        <f t="shared" si="5"/>
        <v>5.1691794192573322E-12</v>
      </c>
      <c r="AA27" s="1">
        <f t="shared" si="5"/>
        <v>1.3844621375096214E-12</v>
      </c>
      <c r="AB27" s="1">
        <f t="shared" si="5"/>
        <v>3.7080071220919078E-13</v>
      </c>
      <c r="AC27" s="1">
        <f t="shared" si="5"/>
        <v>9.9311613116532491E-14</v>
      </c>
      <c r="AD27" s="1">
        <f t="shared" si="5"/>
        <v>2.6598644973053981E-14</v>
      </c>
      <c r="AE27" s="1">
        <f t="shared" si="5"/>
        <v>7.1239192698682856E-15</v>
      </c>
      <c r="AF27" s="1"/>
    </row>
  </sheetData>
  <conditionalFormatting sqref="B22:AF22">
    <cfRule type="colorScale" priority="1">
      <colorScale>
        <cfvo type="min" val="0"/>
        <cfvo type="percentile" val="50"/>
        <cfvo type="max" val="0"/>
        <color theme="8" tint="-0.249977111117893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0070C0"/>
        <color rgb="FFFFEB84"/>
        <color rgb="FFFF0000"/>
      </colorScale>
    </cfRule>
    <cfRule type="colorScale" priority="3">
      <colorScale>
        <cfvo type="min" val="0"/>
        <cfvo type="percentile" val="50"/>
        <cfvo type="max" val="0"/>
        <color rgb="FFFF0000"/>
        <color rgb="FFFFEB84"/>
        <color rgb="FF0070C0"/>
      </colorScale>
    </cfRule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5:AF25"/>
  <sheetViews>
    <sheetView workbookViewId="0">
      <selection activeCell="C22" sqref="C22:AE22"/>
    </sheetView>
  </sheetViews>
  <sheetFormatPr defaultRowHeight="15"/>
  <cols>
    <col min="2" max="2" width="7.7109375" bestFit="1" customWidth="1"/>
    <col min="3" max="3" width="8.7109375" bestFit="1" customWidth="1"/>
    <col min="4" max="32" width="7.7109375" bestFit="1" customWidth="1"/>
  </cols>
  <sheetData>
    <row r="5" spans="2:4">
      <c r="B5" s="3" t="s">
        <v>0</v>
      </c>
      <c r="C5" s="1">
        <v>0.1</v>
      </c>
    </row>
    <row r="6" spans="2:4">
      <c r="B6" s="4" t="s">
        <v>1</v>
      </c>
      <c r="C6" s="7">
        <f>C5/30</f>
        <v>3.3333333333333335E-3</v>
      </c>
    </row>
    <row r="7" spans="2:4">
      <c r="B7" s="3" t="s">
        <v>2</v>
      </c>
      <c r="C7" s="1">
        <f>(C10*C11*C6^2)/(2*C12)</f>
        <v>0.4333333333333334</v>
      </c>
    </row>
    <row r="8" spans="2:4">
      <c r="B8" s="3" t="s">
        <v>3</v>
      </c>
      <c r="C8" s="1">
        <v>5000</v>
      </c>
      <c r="D8">
        <v>3.0333333333333337</v>
      </c>
    </row>
    <row r="9" spans="2:4">
      <c r="B9" s="9"/>
    </row>
    <row r="10" spans="2:4">
      <c r="B10" s="3" t="s">
        <v>4</v>
      </c>
      <c r="C10" s="1">
        <v>460</v>
      </c>
    </row>
    <row r="11" spans="2:4">
      <c r="B11" s="3" t="s">
        <v>5</v>
      </c>
      <c r="C11" s="1">
        <v>7800</v>
      </c>
    </row>
    <row r="12" spans="2:4">
      <c r="B12" s="3" t="s">
        <v>6</v>
      </c>
      <c r="C12" s="1">
        <v>46</v>
      </c>
    </row>
    <row r="13" spans="2:4">
      <c r="B13" s="1"/>
      <c r="C13" s="1"/>
    </row>
    <row r="14" spans="2:4">
      <c r="B14" s="1" t="s">
        <v>9</v>
      </c>
      <c r="C14" s="1">
        <f>'неявная 2'!C14</f>
        <v>100</v>
      </c>
    </row>
    <row r="15" spans="2:4">
      <c r="B15" s="1" t="s">
        <v>19</v>
      </c>
      <c r="C15" s="1">
        <f>'неявная 2'!C9</f>
        <v>92000</v>
      </c>
    </row>
    <row r="20" spans="1:32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>
      <c r="A22" s="1" t="s">
        <v>7</v>
      </c>
      <c r="B22" s="1">
        <f>(B25/C12)*C6+C22</f>
        <v>6.666666666666667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f>C14</f>
        <v>100</v>
      </c>
    </row>
    <row r="23" spans="1: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>
      <c r="A24" s="1" t="s">
        <v>10</v>
      </c>
      <c r="B24" s="1"/>
      <c r="C24" s="1">
        <f>C22+($C12*$C7)/($C10*$C11)*((D22-2*C22+B22)/$C6^2)</f>
        <v>3.3333333333333335</v>
      </c>
      <c r="D24" s="1">
        <f t="shared" ref="D24:AE24" si="1">D22+($C12*$C7)/($C10*$C11)*((E22-2*D22+C22)/$C6^2)</f>
        <v>0</v>
      </c>
      <c r="E24" s="1">
        <f t="shared" si="1"/>
        <v>0</v>
      </c>
      <c r="F24" s="1">
        <f t="shared" si="1"/>
        <v>0</v>
      </c>
      <c r="G24" s="1">
        <f t="shared" si="1"/>
        <v>0</v>
      </c>
      <c r="H24" s="1">
        <f t="shared" si="1"/>
        <v>0</v>
      </c>
      <c r="I24" s="1">
        <f t="shared" si="1"/>
        <v>0</v>
      </c>
      <c r="J24" s="1">
        <f t="shared" si="1"/>
        <v>0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P24" s="1">
        <f t="shared" si="1"/>
        <v>0</v>
      </c>
      <c r="Q24" s="1">
        <f t="shared" si="1"/>
        <v>0</v>
      </c>
      <c r="R24" s="1">
        <f t="shared" si="1"/>
        <v>0</v>
      </c>
      <c r="S24" s="1">
        <f t="shared" si="1"/>
        <v>0</v>
      </c>
      <c r="T24" s="1">
        <f t="shared" si="1"/>
        <v>0</v>
      </c>
      <c r="U24" s="1">
        <f t="shared" si="1"/>
        <v>0</v>
      </c>
      <c r="V24" s="1">
        <f t="shared" si="1"/>
        <v>0</v>
      </c>
      <c r="W24" s="1">
        <f t="shared" si="1"/>
        <v>0</v>
      </c>
      <c r="X24" s="1">
        <f t="shared" si="1"/>
        <v>0</v>
      </c>
      <c r="Y24" s="1">
        <f t="shared" si="1"/>
        <v>0</v>
      </c>
      <c r="Z24" s="1">
        <f t="shared" si="1"/>
        <v>0</v>
      </c>
      <c r="AA24" s="1">
        <f t="shared" si="1"/>
        <v>0</v>
      </c>
      <c r="AB24" s="1">
        <f t="shared" si="1"/>
        <v>0</v>
      </c>
      <c r="AC24" s="1">
        <f t="shared" si="1"/>
        <v>0</v>
      </c>
      <c r="AD24" s="1">
        <f t="shared" si="1"/>
        <v>0</v>
      </c>
      <c r="AE24" s="1">
        <f t="shared" si="1"/>
        <v>50</v>
      </c>
      <c r="AF24" s="1"/>
    </row>
    <row r="25" spans="1:32">
      <c r="A25" s="1" t="s">
        <v>17</v>
      </c>
      <c r="B25" s="1">
        <f>C15</f>
        <v>92000</v>
      </c>
      <c r="C25" s="1">
        <f>-$C$12*((C22-B22)/$C$6)</f>
        <v>92000</v>
      </c>
      <c r="D25" s="1">
        <f t="shared" ref="D25:AF25" si="2">-$C$12*((D22-C22)/$C$6)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I25" s="1">
        <f t="shared" si="2"/>
        <v>0</v>
      </c>
      <c r="J25" s="1">
        <f t="shared" si="2"/>
        <v>0</v>
      </c>
      <c r="K25" s="1">
        <f t="shared" si="2"/>
        <v>0</v>
      </c>
      <c r="L25" s="1">
        <f t="shared" si="2"/>
        <v>0</v>
      </c>
      <c r="M25" s="1">
        <f t="shared" si="2"/>
        <v>0</v>
      </c>
      <c r="N25" s="1">
        <f t="shared" si="2"/>
        <v>0</v>
      </c>
      <c r="O25" s="1">
        <f t="shared" si="2"/>
        <v>0</v>
      </c>
      <c r="P25" s="1">
        <f t="shared" si="2"/>
        <v>0</v>
      </c>
      <c r="Q25" s="1">
        <f t="shared" si="2"/>
        <v>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W25" s="1">
        <f t="shared" si="2"/>
        <v>0</v>
      </c>
      <c r="X25" s="1">
        <f t="shared" si="2"/>
        <v>0</v>
      </c>
      <c r="Y25" s="1">
        <f t="shared" si="2"/>
        <v>0</v>
      </c>
      <c r="Z25" s="1">
        <f t="shared" si="2"/>
        <v>0</v>
      </c>
      <c r="AA25" s="1">
        <f t="shared" si="2"/>
        <v>0</v>
      </c>
      <c r="AB25" s="1">
        <f t="shared" si="2"/>
        <v>0</v>
      </c>
      <c r="AC25" s="1">
        <f t="shared" si="2"/>
        <v>0</v>
      </c>
      <c r="AD25" s="1">
        <f t="shared" si="2"/>
        <v>0</v>
      </c>
      <c r="AE25" s="1">
        <f t="shared" si="2"/>
        <v>0</v>
      </c>
      <c r="AF25" s="1">
        <f t="shared" si="2"/>
        <v>-1379999.9999999998</v>
      </c>
    </row>
  </sheetData>
  <conditionalFormatting sqref="B22:AF22">
    <cfRule type="colorScale" priority="1">
      <colorScale>
        <cfvo type="min" val="0"/>
        <cfvo type="percentile" val="50"/>
        <cfvo type="max" val="0"/>
        <color theme="8" tint="-0.249977111117893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0070C0"/>
        <color rgb="FFFFEB84"/>
        <color rgb="FFFF0000"/>
      </colorScale>
    </cfRule>
    <cfRule type="colorScale" priority="3">
      <colorScale>
        <cfvo type="min" val="0"/>
        <cfvo type="percentile" val="50"/>
        <cfvo type="max" val="0"/>
        <color rgb="FFFF0000"/>
        <color rgb="FFFFEB84"/>
        <color rgb="FF0070C0"/>
      </colorScale>
    </cfRule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неявная схема</vt:lpstr>
      <vt:lpstr>явная схема</vt:lpstr>
      <vt:lpstr>неявная 2</vt:lpstr>
      <vt:lpstr>явная 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user</cp:lastModifiedBy>
  <dcterms:created xsi:type="dcterms:W3CDTF">2021-02-19T10:01:56Z</dcterms:created>
  <dcterms:modified xsi:type="dcterms:W3CDTF">2021-04-04T14:38:01Z</dcterms:modified>
</cp:coreProperties>
</file>