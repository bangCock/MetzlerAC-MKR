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0" yWindow="0" windowWidth="23040" windowHeight="8610"/>
  </bookViews>
  <sheets>
    <sheet name="Лист1" sheetId="1" r:id="rId1"/>
  </sheets>
  <externalReferences>
    <externalReference r:id="rId2"/>
  </externalReferenc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2" i="1"/>
  <c r="J32" s="1"/>
  <c r="K32" s="1"/>
  <c r="L32" s="1"/>
  <c r="M32" s="1"/>
  <c r="N32" s="1"/>
  <c r="O32" s="1"/>
  <c r="P32" s="1"/>
  <c r="Q32" s="1"/>
  <c r="R32" s="1"/>
  <c r="S32" s="1"/>
  <c r="T32" s="1"/>
  <c r="U32" s="1"/>
  <c r="V32" s="1"/>
  <c r="W32" s="1"/>
  <c r="X32" s="1"/>
  <c r="Y32" s="1"/>
  <c r="Z32" s="1"/>
  <c r="AA32" s="1"/>
  <c r="AB32" s="1"/>
  <c r="AC32" s="1"/>
  <c r="AD32" s="1"/>
  <c r="AE32" s="1"/>
  <c r="AF32" s="1"/>
  <c r="AG32" s="1"/>
  <c r="AH32" s="1"/>
  <c r="AI32" s="1"/>
  <c r="AJ32" s="1"/>
  <c r="H32"/>
  <c r="BO96" l="1"/>
  <c r="BP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AM96"/>
  <c r="O95"/>
  <c r="W95"/>
  <c r="AE95"/>
  <c r="AJ96"/>
  <c r="AI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G96"/>
  <c r="EB39"/>
  <c r="CV71" s="1"/>
  <c r="EB41"/>
  <c r="CV73" s="1"/>
  <c r="EB42"/>
  <c r="CV74" s="1"/>
  <c r="EB43"/>
  <c r="CV75" s="1"/>
  <c r="EB47"/>
  <c r="CV79" s="1"/>
  <c r="EB49"/>
  <c r="CV81" s="1"/>
  <c r="EB50"/>
  <c r="CV82" s="1"/>
  <c r="EB51"/>
  <c r="CV83" s="1"/>
  <c r="EB55"/>
  <c r="CV87" s="1"/>
  <c r="EB57"/>
  <c r="CV89" s="1"/>
  <c r="EB58"/>
  <c r="CV90" s="1"/>
  <c r="EB59"/>
  <c r="CV91" s="1"/>
  <c r="EB63"/>
  <c r="CV95" s="1"/>
  <c r="BP95" s="1"/>
  <c r="EB35"/>
  <c r="CV67" s="1"/>
  <c r="AJ3"/>
  <c r="CV36" s="1"/>
  <c r="AJ4"/>
  <c r="CV37" s="1"/>
  <c r="AJ5"/>
  <c r="CV38" s="1"/>
  <c r="AJ6"/>
  <c r="CV39" s="1"/>
  <c r="AJ7"/>
  <c r="CV40" s="1"/>
  <c r="AJ8"/>
  <c r="AJ9"/>
  <c r="AJ10"/>
  <c r="AJ11"/>
  <c r="CV44" s="1"/>
  <c r="AJ12"/>
  <c r="CV45" s="1"/>
  <c r="AJ13"/>
  <c r="EB46" s="1"/>
  <c r="CV78" s="1"/>
  <c r="AJ14"/>
  <c r="CV47" s="1"/>
  <c r="AJ15"/>
  <c r="EB48" s="1"/>
  <c r="CV80" s="1"/>
  <c r="AJ16"/>
  <c r="AJ17"/>
  <c r="AJ18"/>
  <c r="AJ19"/>
  <c r="CV52" s="1"/>
  <c r="AJ20"/>
  <c r="CV53" s="1"/>
  <c r="AJ21"/>
  <c r="CV54" s="1"/>
  <c r="AJ22"/>
  <c r="CV55" s="1"/>
  <c r="AJ23"/>
  <c r="EB56" s="1"/>
  <c r="CV88" s="1"/>
  <c r="AJ24"/>
  <c r="AJ25"/>
  <c r="AJ26"/>
  <c r="AJ27"/>
  <c r="CV60" s="1"/>
  <c r="AJ28"/>
  <c r="CV61" s="1"/>
  <c r="AJ29"/>
  <c r="EB62" s="1"/>
  <c r="CV94" s="1"/>
  <c r="AJ30"/>
  <c r="CV63" s="1"/>
  <c r="AJ31"/>
  <c r="EB64" s="1"/>
  <c r="CV96" s="1"/>
  <c r="AJ2"/>
  <c r="CV41"/>
  <c r="CV48"/>
  <c r="CV49"/>
  <c r="CV56"/>
  <c r="CV57"/>
  <c r="CV64"/>
  <c r="CT35"/>
  <c r="CU35"/>
  <c r="CV35"/>
  <c r="CT36"/>
  <c r="CU36"/>
  <c r="CT37"/>
  <c r="CU37"/>
  <c r="CT38"/>
  <c r="CU38"/>
  <c r="CT39"/>
  <c r="CU39"/>
  <c r="CT40"/>
  <c r="CU40"/>
  <c r="CT41"/>
  <c r="CU41"/>
  <c r="CT42"/>
  <c r="CU42"/>
  <c r="CV42"/>
  <c r="CT43"/>
  <c r="CU43"/>
  <c r="CV43"/>
  <c r="CT44"/>
  <c r="CU44"/>
  <c r="CT45"/>
  <c r="CU45"/>
  <c r="CT46"/>
  <c r="CU46"/>
  <c r="CV46"/>
  <c r="CT47"/>
  <c r="CU47"/>
  <c r="CT48"/>
  <c r="CU48"/>
  <c r="CT49"/>
  <c r="CU49"/>
  <c r="CT50"/>
  <c r="CU50"/>
  <c r="CV50"/>
  <c r="CT51"/>
  <c r="CU51"/>
  <c r="CV51"/>
  <c r="CT52"/>
  <c r="CU52"/>
  <c r="CT53"/>
  <c r="CU53"/>
  <c r="CT54"/>
  <c r="CU54"/>
  <c r="CT55"/>
  <c r="CU55"/>
  <c r="CT56"/>
  <c r="CU56"/>
  <c r="CT57"/>
  <c r="CU57"/>
  <c r="CT58"/>
  <c r="CU58"/>
  <c r="CV58"/>
  <c r="CT59"/>
  <c r="CU59"/>
  <c r="CV59"/>
  <c r="CT60"/>
  <c r="CU60"/>
  <c r="CT61"/>
  <c r="CU61"/>
  <c r="CT62"/>
  <c r="CU62"/>
  <c r="CV62"/>
  <c r="CT63"/>
  <c r="CU63"/>
  <c r="CT64"/>
  <c r="CU64"/>
  <c r="BT35"/>
  <c r="BU35"/>
  <c r="BV35"/>
  <c r="BW35"/>
  <c r="BX35"/>
  <c r="BY35"/>
  <c r="BZ35"/>
  <c r="CA35"/>
  <c r="CB35"/>
  <c r="CC35"/>
  <c r="CD35"/>
  <c r="CE35"/>
  <c r="CF35"/>
  <c r="CG35"/>
  <c r="CH35"/>
  <c r="CI35"/>
  <c r="CJ35"/>
  <c r="CK35"/>
  <c r="CL35"/>
  <c r="CM35"/>
  <c r="CN35"/>
  <c r="CO35"/>
  <c r="CP35"/>
  <c r="CQ35"/>
  <c r="CR35"/>
  <c r="CS35"/>
  <c r="BT36"/>
  <c r="BU36"/>
  <c r="BV36"/>
  <c r="BW36"/>
  <c r="BX36"/>
  <c r="BY36"/>
  <c r="BZ36"/>
  <c r="CA36"/>
  <c r="CB36"/>
  <c r="CC36"/>
  <c r="CD36"/>
  <c r="CE36"/>
  <c r="CF36"/>
  <c r="CG36"/>
  <c r="CH36"/>
  <c r="CI36"/>
  <c r="CJ36"/>
  <c r="CK36"/>
  <c r="CL36"/>
  <c r="CM36"/>
  <c r="CN36"/>
  <c r="CO36"/>
  <c r="CP36"/>
  <c r="CQ36"/>
  <c r="CR36"/>
  <c r="CS36"/>
  <c r="BT37"/>
  <c r="BU37"/>
  <c r="BV37"/>
  <c r="BW37"/>
  <c r="BX37"/>
  <c r="BY37"/>
  <c r="BZ37"/>
  <c r="CA37"/>
  <c r="CB37"/>
  <c r="CC37"/>
  <c r="CD37"/>
  <c r="CE37"/>
  <c r="CF37"/>
  <c r="CG37"/>
  <c r="CH37"/>
  <c r="CI37"/>
  <c r="CJ37"/>
  <c r="CK37"/>
  <c r="CL37"/>
  <c r="CM37"/>
  <c r="CN37"/>
  <c r="CO37"/>
  <c r="CP37"/>
  <c r="CQ37"/>
  <c r="CR37"/>
  <c r="CS37"/>
  <c r="BT38"/>
  <c r="BU38"/>
  <c r="BV38"/>
  <c r="BW38"/>
  <c r="BX38"/>
  <c r="BY38"/>
  <c r="BZ38"/>
  <c r="CA38"/>
  <c r="CB38"/>
  <c r="CC38"/>
  <c r="CD38"/>
  <c r="CE38"/>
  <c r="CF38"/>
  <c r="CG38"/>
  <c r="CH38"/>
  <c r="CI38"/>
  <c r="CJ38"/>
  <c r="CK38"/>
  <c r="CL38"/>
  <c r="CM38"/>
  <c r="CN38"/>
  <c r="CO38"/>
  <c r="CP38"/>
  <c r="CQ38"/>
  <c r="CR38"/>
  <c r="CS38"/>
  <c r="BT39"/>
  <c r="BU39"/>
  <c r="BV39"/>
  <c r="BW39"/>
  <c r="BX39"/>
  <c r="BY39"/>
  <c r="BZ39"/>
  <c r="CA39"/>
  <c r="CB39"/>
  <c r="CC39"/>
  <c r="CD39"/>
  <c r="CE39"/>
  <c r="CF39"/>
  <c r="CG39"/>
  <c r="CH39"/>
  <c r="CI39"/>
  <c r="CJ39"/>
  <c r="CK39"/>
  <c r="CL39"/>
  <c r="CM39"/>
  <c r="CN39"/>
  <c r="CO39"/>
  <c r="CP39"/>
  <c r="CQ39"/>
  <c r="CR39"/>
  <c r="CS39"/>
  <c r="BT40"/>
  <c r="BU40"/>
  <c r="BV40"/>
  <c r="BW40"/>
  <c r="BX40"/>
  <c r="BY40"/>
  <c r="BZ40"/>
  <c r="CA40"/>
  <c r="CB40"/>
  <c r="CC40"/>
  <c r="CD40"/>
  <c r="CE40"/>
  <c r="CF40"/>
  <c r="CG40"/>
  <c r="CH40"/>
  <c r="CI40"/>
  <c r="CJ40"/>
  <c r="CK40"/>
  <c r="CL40"/>
  <c r="CM40"/>
  <c r="CN40"/>
  <c r="CO40"/>
  <c r="CP40"/>
  <c r="CQ40"/>
  <c r="CR40"/>
  <c r="CS40"/>
  <c r="BT41"/>
  <c r="BU41"/>
  <c r="BV41"/>
  <c r="BW41"/>
  <c r="BX41"/>
  <c r="BY41"/>
  <c r="BZ41"/>
  <c r="CA41"/>
  <c r="CB41"/>
  <c r="CC41"/>
  <c r="CD41"/>
  <c r="CE41"/>
  <c r="CF41"/>
  <c r="CG41"/>
  <c r="CH41"/>
  <c r="CI41"/>
  <c r="CJ41"/>
  <c r="CK41"/>
  <c r="CL41"/>
  <c r="CM41"/>
  <c r="CN41"/>
  <c r="CO41"/>
  <c r="CP41"/>
  <c r="CQ41"/>
  <c r="CR41"/>
  <c r="CS41"/>
  <c r="BT42"/>
  <c r="BU42"/>
  <c r="BV42"/>
  <c r="BW42"/>
  <c r="BX42"/>
  <c r="BY42"/>
  <c r="BZ42"/>
  <c r="CA42"/>
  <c r="CB42"/>
  <c r="CC42"/>
  <c r="CD42"/>
  <c r="CE42"/>
  <c r="CF42"/>
  <c r="CG42"/>
  <c r="CH42"/>
  <c r="CI42"/>
  <c r="CJ42"/>
  <c r="CK42"/>
  <c r="CL42"/>
  <c r="CM42"/>
  <c r="CN42"/>
  <c r="CO42"/>
  <c r="CP42"/>
  <c r="CQ42"/>
  <c r="CR42"/>
  <c r="CS42"/>
  <c r="BT43"/>
  <c r="BU43"/>
  <c r="BV43"/>
  <c r="BW43"/>
  <c r="BX43"/>
  <c r="BY43"/>
  <c r="BZ43"/>
  <c r="CA43"/>
  <c r="CB43"/>
  <c r="CC43"/>
  <c r="CD43"/>
  <c r="CE43"/>
  <c r="CF43"/>
  <c r="CG43"/>
  <c r="CH43"/>
  <c r="CI43"/>
  <c r="CJ43"/>
  <c r="CK43"/>
  <c r="CL43"/>
  <c r="CM43"/>
  <c r="CN43"/>
  <c r="CO43"/>
  <c r="CP43"/>
  <c r="CQ43"/>
  <c r="CR43"/>
  <c r="CS43"/>
  <c r="BT44"/>
  <c r="BU44"/>
  <c r="BV44"/>
  <c r="BW44"/>
  <c r="BX44"/>
  <c r="BY44"/>
  <c r="BZ44"/>
  <c r="CA44"/>
  <c r="CB44"/>
  <c r="CC44"/>
  <c r="CD44"/>
  <c r="CE44"/>
  <c r="CF44"/>
  <c r="CG44"/>
  <c r="CH44"/>
  <c r="CI44"/>
  <c r="CJ44"/>
  <c r="CK44"/>
  <c r="CL44"/>
  <c r="CM44"/>
  <c r="CN44"/>
  <c r="CO44"/>
  <c r="CP44"/>
  <c r="CQ44"/>
  <c r="CR44"/>
  <c r="CS44"/>
  <c r="BT45"/>
  <c r="BU45"/>
  <c r="BV45"/>
  <c r="BW45"/>
  <c r="BX45"/>
  <c r="BY45"/>
  <c r="BZ45"/>
  <c r="CA45"/>
  <c r="CB45"/>
  <c r="CC45"/>
  <c r="CD45"/>
  <c r="CE45"/>
  <c r="CF45"/>
  <c r="CG45"/>
  <c r="CH45"/>
  <c r="CI45"/>
  <c r="CJ45"/>
  <c r="CK45"/>
  <c r="CL45"/>
  <c r="CM45"/>
  <c r="CN45"/>
  <c r="CO45"/>
  <c r="CP45"/>
  <c r="CQ45"/>
  <c r="CR45"/>
  <c r="CS45"/>
  <c r="BT46"/>
  <c r="BU46"/>
  <c r="BV46"/>
  <c r="BW46"/>
  <c r="BX46"/>
  <c r="BY46"/>
  <c r="BZ46"/>
  <c r="CA46"/>
  <c r="CB46"/>
  <c r="CC46"/>
  <c r="CD46"/>
  <c r="CE46"/>
  <c r="CF46"/>
  <c r="CG46"/>
  <c r="CH46"/>
  <c r="CI46"/>
  <c r="CJ46"/>
  <c r="CK46"/>
  <c r="CL46"/>
  <c r="CM46"/>
  <c r="CN46"/>
  <c r="CO46"/>
  <c r="CP46"/>
  <c r="CQ46"/>
  <c r="CR46"/>
  <c r="CS46"/>
  <c r="BT47"/>
  <c r="BU47"/>
  <c r="BV47"/>
  <c r="BW47"/>
  <c r="BX47"/>
  <c r="BY47"/>
  <c r="BZ47"/>
  <c r="CA47"/>
  <c r="CB47"/>
  <c r="CC47"/>
  <c r="CD47"/>
  <c r="CE47"/>
  <c r="CF47"/>
  <c r="CG47"/>
  <c r="CH47"/>
  <c r="CI47"/>
  <c r="CJ47"/>
  <c r="CK47"/>
  <c r="CL47"/>
  <c r="CM47"/>
  <c r="CN47"/>
  <c r="CO47"/>
  <c r="CP47"/>
  <c r="CQ47"/>
  <c r="CR47"/>
  <c r="CS47"/>
  <c r="BT48"/>
  <c r="BU48"/>
  <c r="BV48"/>
  <c r="BW48"/>
  <c r="BX48"/>
  <c r="BY48"/>
  <c r="BZ48"/>
  <c r="CA48"/>
  <c r="CB48"/>
  <c r="CC48"/>
  <c r="CD48"/>
  <c r="CE48"/>
  <c r="CF48"/>
  <c r="CG48"/>
  <c r="CH48"/>
  <c r="CI48"/>
  <c r="CJ48"/>
  <c r="CK48"/>
  <c r="CL48"/>
  <c r="CM48"/>
  <c r="CN48"/>
  <c r="CO48"/>
  <c r="CP48"/>
  <c r="CQ48"/>
  <c r="CR48"/>
  <c r="CS48"/>
  <c r="BT49"/>
  <c r="BU49"/>
  <c r="BV49"/>
  <c r="BW49"/>
  <c r="BX49"/>
  <c r="BY49"/>
  <c r="BZ49"/>
  <c r="CA49"/>
  <c r="CB49"/>
  <c r="CC49"/>
  <c r="CD49"/>
  <c r="CE49"/>
  <c r="CF49"/>
  <c r="CG49"/>
  <c r="CH49"/>
  <c r="CI49"/>
  <c r="CJ49"/>
  <c r="CK49"/>
  <c r="CL49"/>
  <c r="CM49"/>
  <c r="CN49"/>
  <c r="CO49"/>
  <c r="CP49"/>
  <c r="CQ49"/>
  <c r="CR49"/>
  <c r="CS49"/>
  <c r="BT50"/>
  <c r="BU50"/>
  <c r="BV50"/>
  <c r="BW50"/>
  <c r="BX50"/>
  <c r="BY50"/>
  <c r="BZ50"/>
  <c r="CA50"/>
  <c r="CB50"/>
  <c r="CC50"/>
  <c r="CD50"/>
  <c r="CE50"/>
  <c r="CF50"/>
  <c r="CG50"/>
  <c r="CH50"/>
  <c r="CI50"/>
  <c r="CJ50"/>
  <c r="CK50"/>
  <c r="CL50"/>
  <c r="CM50"/>
  <c r="CN50"/>
  <c r="CO50"/>
  <c r="CP50"/>
  <c r="CQ50"/>
  <c r="CR50"/>
  <c r="CS50"/>
  <c r="BT51"/>
  <c r="BU51"/>
  <c r="BV51"/>
  <c r="BW51"/>
  <c r="BX51"/>
  <c r="BY51"/>
  <c r="BZ51"/>
  <c r="CA51"/>
  <c r="CB51"/>
  <c r="CC51"/>
  <c r="CD51"/>
  <c r="CE51"/>
  <c r="CF51"/>
  <c r="CG51"/>
  <c r="CH51"/>
  <c r="CI51"/>
  <c r="CJ51"/>
  <c r="CK51"/>
  <c r="CL51"/>
  <c r="CM51"/>
  <c r="CN51"/>
  <c r="CO51"/>
  <c r="CP51"/>
  <c r="CQ51"/>
  <c r="CR51"/>
  <c r="CS51"/>
  <c r="BT52"/>
  <c r="BU52"/>
  <c r="BV52"/>
  <c r="BW52"/>
  <c r="BX52"/>
  <c r="BY52"/>
  <c r="BZ52"/>
  <c r="CA52"/>
  <c r="CB52"/>
  <c r="CC52"/>
  <c r="CD52"/>
  <c r="CE52"/>
  <c r="CF52"/>
  <c r="CG52"/>
  <c r="CH52"/>
  <c r="CI52"/>
  <c r="CJ52"/>
  <c r="CK52"/>
  <c r="CL52"/>
  <c r="CM52"/>
  <c r="CN52"/>
  <c r="CO52"/>
  <c r="CP52"/>
  <c r="CQ52"/>
  <c r="CR52"/>
  <c r="CS52"/>
  <c r="BT53"/>
  <c r="BU53"/>
  <c r="BV53"/>
  <c r="BW53"/>
  <c r="BX53"/>
  <c r="BY53"/>
  <c r="BZ53"/>
  <c r="CA53"/>
  <c r="CB53"/>
  <c r="CC53"/>
  <c r="CD53"/>
  <c r="CE53"/>
  <c r="CF53"/>
  <c r="CG53"/>
  <c r="CH53"/>
  <c r="CI53"/>
  <c r="CJ53"/>
  <c r="CK53"/>
  <c r="CL53"/>
  <c r="CM53"/>
  <c r="CN53"/>
  <c r="CO53"/>
  <c r="CP53"/>
  <c r="CQ53"/>
  <c r="CR53"/>
  <c r="CS53"/>
  <c r="BT54"/>
  <c r="BU54"/>
  <c r="BV54"/>
  <c r="BW54"/>
  <c r="BX54"/>
  <c r="BY54"/>
  <c r="BZ54"/>
  <c r="CA54"/>
  <c r="CB54"/>
  <c r="CC54"/>
  <c r="CD54"/>
  <c r="CE54"/>
  <c r="CF54"/>
  <c r="CG54"/>
  <c r="CH54"/>
  <c r="CI54"/>
  <c r="CJ54"/>
  <c r="CK54"/>
  <c r="CL54"/>
  <c r="CM54"/>
  <c r="CN54"/>
  <c r="CO54"/>
  <c r="CP54"/>
  <c r="CQ54"/>
  <c r="CR54"/>
  <c r="CS54"/>
  <c r="BT55"/>
  <c r="BU55"/>
  <c r="BV55"/>
  <c r="BW55"/>
  <c r="BX55"/>
  <c r="BY55"/>
  <c r="BZ55"/>
  <c r="CA55"/>
  <c r="CB55"/>
  <c r="CC55"/>
  <c r="CD55"/>
  <c r="CE55"/>
  <c r="CF55"/>
  <c r="CG55"/>
  <c r="CH55"/>
  <c r="CI55"/>
  <c r="CJ55"/>
  <c r="CK55"/>
  <c r="CL55"/>
  <c r="CM55"/>
  <c r="CN55"/>
  <c r="CO55"/>
  <c r="CP55"/>
  <c r="CQ55"/>
  <c r="CR55"/>
  <c r="CS55"/>
  <c r="BT56"/>
  <c r="BU56"/>
  <c r="BV56"/>
  <c r="BW56"/>
  <c r="BX56"/>
  <c r="BY56"/>
  <c r="BZ56"/>
  <c r="CA56"/>
  <c r="CB56"/>
  <c r="CC56"/>
  <c r="CD56"/>
  <c r="CE56"/>
  <c r="CF56"/>
  <c r="CG56"/>
  <c r="CH56"/>
  <c r="CI56"/>
  <c r="CJ56"/>
  <c r="CK56"/>
  <c r="CL56"/>
  <c r="CM56"/>
  <c r="CN56"/>
  <c r="CO56"/>
  <c r="CP56"/>
  <c r="CQ56"/>
  <c r="CR56"/>
  <c r="CS56"/>
  <c r="BT57"/>
  <c r="BU57"/>
  <c r="BV57"/>
  <c r="BW57"/>
  <c r="BX57"/>
  <c r="BY57"/>
  <c r="BZ57"/>
  <c r="CA57"/>
  <c r="CB57"/>
  <c r="CC57"/>
  <c r="CD57"/>
  <c r="CE57"/>
  <c r="CF57"/>
  <c r="CG57"/>
  <c r="CH57"/>
  <c r="CI57"/>
  <c r="CJ57"/>
  <c r="CK57"/>
  <c r="CL57"/>
  <c r="CM57"/>
  <c r="CN57"/>
  <c r="CO57"/>
  <c r="CP57"/>
  <c r="CQ57"/>
  <c r="CR57"/>
  <c r="CS57"/>
  <c r="BT58"/>
  <c r="BU58"/>
  <c r="BV58"/>
  <c r="BW58"/>
  <c r="BX58"/>
  <c r="BY58"/>
  <c r="BZ58"/>
  <c r="CA58"/>
  <c r="CB58"/>
  <c r="CC58"/>
  <c r="CD58"/>
  <c r="CE58"/>
  <c r="CF58"/>
  <c r="CG58"/>
  <c r="CH58"/>
  <c r="CI58"/>
  <c r="CJ58"/>
  <c r="CK58"/>
  <c r="CL58"/>
  <c r="CM58"/>
  <c r="CN58"/>
  <c r="CO58"/>
  <c r="CP58"/>
  <c r="CQ58"/>
  <c r="CR58"/>
  <c r="CS58"/>
  <c r="BT59"/>
  <c r="BU59"/>
  <c r="BV59"/>
  <c r="BW59"/>
  <c r="BX59"/>
  <c r="BY59"/>
  <c r="BZ59"/>
  <c r="CA59"/>
  <c r="CB59"/>
  <c r="CC59"/>
  <c r="CD59"/>
  <c r="CE59"/>
  <c r="CF59"/>
  <c r="CG59"/>
  <c r="CH59"/>
  <c r="CI59"/>
  <c r="CJ59"/>
  <c r="CK59"/>
  <c r="CL59"/>
  <c r="CM59"/>
  <c r="CN59"/>
  <c r="CO59"/>
  <c r="CP59"/>
  <c r="CQ59"/>
  <c r="CR59"/>
  <c r="CS59"/>
  <c r="BT60"/>
  <c r="BU60"/>
  <c r="BV60"/>
  <c r="BW60"/>
  <c r="BX60"/>
  <c r="BY60"/>
  <c r="BZ60"/>
  <c r="CA60"/>
  <c r="CB60"/>
  <c r="CC60"/>
  <c r="CD60"/>
  <c r="CE60"/>
  <c r="CF60"/>
  <c r="CG60"/>
  <c r="CH60"/>
  <c r="CI60"/>
  <c r="CJ60"/>
  <c r="CK60"/>
  <c r="CL60"/>
  <c r="CM60"/>
  <c r="CN60"/>
  <c r="CO60"/>
  <c r="CP60"/>
  <c r="CQ60"/>
  <c r="CR60"/>
  <c r="CS60"/>
  <c r="BT61"/>
  <c r="BU61"/>
  <c r="BV61"/>
  <c r="BW61"/>
  <c r="BX61"/>
  <c r="BY61"/>
  <c r="BZ61"/>
  <c r="CA61"/>
  <c r="CB61"/>
  <c r="CC61"/>
  <c r="CD61"/>
  <c r="CE61"/>
  <c r="CF61"/>
  <c r="CG61"/>
  <c r="CH61"/>
  <c r="CI61"/>
  <c r="CJ61"/>
  <c r="CK61"/>
  <c r="CL61"/>
  <c r="CM61"/>
  <c r="CN61"/>
  <c r="CO61"/>
  <c r="CP61"/>
  <c r="CQ61"/>
  <c r="CR61"/>
  <c r="CS61"/>
  <c r="BT62"/>
  <c r="BU62"/>
  <c r="BV62"/>
  <c r="BW62"/>
  <c r="BX62"/>
  <c r="BY62"/>
  <c r="BZ62"/>
  <c r="CA62"/>
  <c r="CB62"/>
  <c r="CC62"/>
  <c r="CD62"/>
  <c r="CE62"/>
  <c r="CF62"/>
  <c r="CG62"/>
  <c r="CH62"/>
  <c r="CI62"/>
  <c r="CJ62"/>
  <c r="CK62"/>
  <c r="CL62"/>
  <c r="CM62"/>
  <c r="CN62"/>
  <c r="CO62"/>
  <c r="CP62"/>
  <c r="CQ62"/>
  <c r="CR62"/>
  <c r="CS62"/>
  <c r="BT63"/>
  <c r="BU63"/>
  <c r="BV63"/>
  <c r="BW63"/>
  <c r="BX63"/>
  <c r="BY63"/>
  <c r="BZ63"/>
  <c r="CA63"/>
  <c r="CB63"/>
  <c r="CC63"/>
  <c r="CD63"/>
  <c r="CE63"/>
  <c r="CF63"/>
  <c r="CG63"/>
  <c r="CH63"/>
  <c r="CI63"/>
  <c r="CJ63"/>
  <c r="CK63"/>
  <c r="CL63"/>
  <c r="CM63"/>
  <c r="CN63"/>
  <c r="CO63"/>
  <c r="CP63"/>
  <c r="CQ63"/>
  <c r="CR63"/>
  <c r="CS63"/>
  <c r="BT64"/>
  <c r="BU64"/>
  <c r="BV64"/>
  <c r="BW64"/>
  <c r="BX64"/>
  <c r="BY64"/>
  <c r="BZ64"/>
  <c r="CA64"/>
  <c r="CB64"/>
  <c r="CC64"/>
  <c r="CD64"/>
  <c r="CE64"/>
  <c r="CF64"/>
  <c r="CG64"/>
  <c r="CH64"/>
  <c r="CI64"/>
  <c r="CJ64"/>
  <c r="CK64"/>
  <c r="CL64"/>
  <c r="CM64"/>
  <c r="CN64"/>
  <c r="CO64"/>
  <c r="CP64"/>
  <c r="CQ64"/>
  <c r="CR64"/>
  <c r="CS64"/>
  <c r="H39"/>
  <c r="H40"/>
  <c r="I40" s="1"/>
  <c r="J40" s="1"/>
  <c r="K40" s="1"/>
  <c r="L40" s="1"/>
  <c r="M40" s="1"/>
  <c r="N40" s="1"/>
  <c r="O40" s="1"/>
  <c r="P40" s="1"/>
  <c r="Q40" s="1"/>
  <c r="R40" s="1"/>
  <c r="S40" s="1"/>
  <c r="T40" s="1"/>
  <c r="U40" s="1"/>
  <c r="V40" s="1"/>
  <c r="W40" s="1"/>
  <c r="X40" s="1"/>
  <c r="Y40" s="1"/>
  <c r="Z40" s="1"/>
  <c r="AA40" s="1"/>
  <c r="AB40" s="1"/>
  <c r="AC40" s="1"/>
  <c r="AD40" s="1"/>
  <c r="AE40" s="1"/>
  <c r="AF40" s="1"/>
  <c r="AG40" s="1"/>
  <c r="AH40" s="1"/>
  <c r="AI40" s="1"/>
  <c r="AJ40" s="1"/>
  <c r="H44"/>
  <c r="I44" s="1"/>
  <c r="J44" s="1"/>
  <c r="K44" s="1"/>
  <c r="L44" s="1"/>
  <c r="M44" s="1"/>
  <c r="N44" s="1"/>
  <c r="O44" s="1"/>
  <c r="P44" s="1"/>
  <c r="Q44" s="1"/>
  <c r="R44" s="1"/>
  <c r="S44" s="1"/>
  <c r="T44" s="1"/>
  <c r="U44" s="1"/>
  <c r="V44" s="1"/>
  <c r="W44" s="1"/>
  <c r="X44" s="1"/>
  <c r="Y44" s="1"/>
  <c r="Z44" s="1"/>
  <c r="AA44" s="1"/>
  <c r="AB44" s="1"/>
  <c r="AC44" s="1"/>
  <c r="AD44" s="1"/>
  <c r="AE44" s="1"/>
  <c r="AF44" s="1"/>
  <c r="AG44" s="1"/>
  <c r="AH44" s="1"/>
  <c r="AI44" s="1"/>
  <c r="AJ44" s="1"/>
  <c r="H48"/>
  <c r="I48" s="1"/>
  <c r="J48" s="1"/>
  <c r="K48" s="1"/>
  <c r="L48" s="1"/>
  <c r="M48" s="1"/>
  <c r="N48" s="1"/>
  <c r="O48" s="1"/>
  <c r="P48" s="1"/>
  <c r="H51"/>
  <c r="H52"/>
  <c r="H54"/>
  <c r="I54" s="1"/>
  <c r="J54" s="1"/>
  <c r="K54" s="1"/>
  <c r="H59"/>
  <c r="I59" s="1"/>
  <c r="J59" s="1"/>
  <c r="H63"/>
  <c r="H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35"/>
  <c r="G3"/>
  <c r="CY36" s="1"/>
  <c r="BS68" s="1"/>
  <c r="G4"/>
  <c r="BS37" s="1"/>
  <c r="G5"/>
  <c r="CY38" s="1"/>
  <c r="BS70" s="1"/>
  <c r="G6"/>
  <c r="CY39" s="1"/>
  <c r="BS71" s="1"/>
  <c r="G7"/>
  <c r="AM40" s="1"/>
  <c r="G8"/>
  <c r="CY41" s="1"/>
  <c r="BS73" s="1"/>
  <c r="G9"/>
  <c r="CY42" s="1"/>
  <c r="BS74" s="1"/>
  <c r="G10"/>
  <c r="AM43" s="1"/>
  <c r="G11"/>
  <c r="CY44" s="1"/>
  <c r="BS76" s="1"/>
  <c r="G12"/>
  <c r="BS45" s="1"/>
  <c r="G13"/>
  <c r="CY46" s="1"/>
  <c r="BS78" s="1"/>
  <c r="G14"/>
  <c r="CY47" s="1"/>
  <c r="BS79" s="1"/>
  <c r="G15"/>
  <c r="AM48" s="1"/>
  <c r="G16"/>
  <c r="CY49" s="1"/>
  <c r="BS81" s="1"/>
  <c r="G17"/>
  <c r="BS50" s="1"/>
  <c r="G18"/>
  <c r="AM51" s="1"/>
  <c r="G19"/>
  <c r="CY52" s="1"/>
  <c r="BS84" s="1"/>
  <c r="G20"/>
  <c r="BS53" s="1"/>
  <c r="G21"/>
  <c r="CY54" s="1"/>
  <c r="BS86" s="1"/>
  <c r="G22"/>
  <c r="CY55" s="1"/>
  <c r="BS87" s="1"/>
  <c r="G23"/>
  <c r="AM56" s="1"/>
  <c r="G24"/>
  <c r="AM57" s="1"/>
  <c r="G25"/>
  <c r="CY58" s="1"/>
  <c r="BS90" s="1"/>
  <c r="G26"/>
  <c r="BS59" s="1"/>
  <c r="G27"/>
  <c r="CY60" s="1"/>
  <c r="BS92" s="1"/>
  <c r="G28"/>
  <c r="BS61" s="1"/>
  <c r="G29"/>
  <c r="CY62" s="1"/>
  <c r="BS94" s="1"/>
  <c r="G30"/>
  <c r="CY63" s="1"/>
  <c r="BS95" s="1"/>
  <c r="G31"/>
  <c r="AM64" s="1"/>
  <c r="G2"/>
  <c r="BS35" s="1"/>
  <c r="F30"/>
  <c r="F29" s="1"/>
  <c r="F28" s="1"/>
  <c r="F27" s="1"/>
  <c r="F26" s="1"/>
  <c r="F25" s="1"/>
  <c r="F24" s="1"/>
  <c r="F23" s="1"/>
  <c r="F22" s="1"/>
  <c r="F21" s="1"/>
  <c r="F20" s="1"/>
  <c r="F19" s="1"/>
  <c r="F18" s="1"/>
  <c r="F17" s="1"/>
  <c r="F16" s="1"/>
  <c r="F15" s="1"/>
  <c r="F14" s="1"/>
  <c r="F13" s="1"/>
  <c r="F12" s="1"/>
  <c r="F11" s="1"/>
  <c r="F10" s="1"/>
  <c r="F9" s="1"/>
  <c r="F8" s="1"/>
  <c r="F7" s="1"/>
  <c r="F6" s="1"/>
  <c r="F5" s="1"/>
  <c r="F4" s="1"/>
  <c r="F3" s="1"/>
  <c r="F2" s="1"/>
  <c r="C22"/>
  <c r="AG95" s="1"/>
  <c r="C21"/>
  <c r="C20"/>
  <c r="C18"/>
  <c r="H37" s="1"/>
  <c r="I37" s="1"/>
  <c r="J37" s="1"/>
  <c r="K37" s="1"/>
  <c r="L37" s="1"/>
  <c r="M37" s="1"/>
  <c r="N37" s="1"/>
  <c r="O37" s="1"/>
  <c r="P37" s="1"/>
  <c r="Q37" s="1"/>
  <c r="R37" s="1"/>
  <c r="S37" s="1"/>
  <c r="T37" s="1"/>
  <c r="U37" s="1"/>
  <c r="V37" s="1"/>
  <c r="W37" s="1"/>
  <c r="X37" s="1"/>
  <c r="Y37" s="1"/>
  <c r="Z37" s="1"/>
  <c r="AA37" s="1"/>
  <c r="AB37" s="1"/>
  <c r="AC37" s="1"/>
  <c r="AD37" s="1"/>
  <c r="AE37" s="1"/>
  <c r="AF37" s="1"/>
  <c r="AG37" s="1"/>
  <c r="AH37" s="1"/>
  <c r="AI37" s="1"/>
  <c r="AJ37" s="1"/>
  <c r="C17"/>
  <c r="C16"/>
  <c r="C5"/>
  <c r="C4"/>
  <c r="BS42" l="1"/>
  <c r="BS63"/>
  <c r="CY51"/>
  <c r="BS83" s="1"/>
  <c r="X95"/>
  <c r="X94" s="1"/>
  <c r="X93" s="1"/>
  <c r="X92" s="1"/>
  <c r="X91" s="1"/>
  <c r="X90" s="1"/>
  <c r="X89" s="1"/>
  <c r="X88" s="1"/>
  <c r="X87" s="1"/>
  <c r="X86" s="1"/>
  <c r="X85" s="1"/>
  <c r="X84" s="1"/>
  <c r="X83" s="1"/>
  <c r="X82" s="1"/>
  <c r="X81" s="1"/>
  <c r="X80" s="1"/>
  <c r="X79" s="1"/>
  <c r="X78" s="1"/>
  <c r="X77" s="1"/>
  <c r="X76" s="1"/>
  <c r="X75" s="1"/>
  <c r="X74" s="1"/>
  <c r="X73" s="1"/>
  <c r="X72" s="1"/>
  <c r="X71" s="1"/>
  <c r="X70" s="1"/>
  <c r="X69" s="1"/>
  <c r="X68" s="1"/>
  <c r="X67" s="1"/>
  <c r="P95"/>
  <c r="H95"/>
  <c r="AC94"/>
  <c r="AC93" s="1"/>
  <c r="AC92" s="1"/>
  <c r="AC91" s="1"/>
  <c r="AC90" s="1"/>
  <c r="AC89" s="1"/>
  <c r="AC88" s="1"/>
  <c r="AC87" s="1"/>
  <c r="AC86" s="1"/>
  <c r="AC85" s="1"/>
  <c r="AC84" s="1"/>
  <c r="AC83" s="1"/>
  <c r="AC82" s="1"/>
  <c r="AC81" s="1"/>
  <c r="AC80" s="1"/>
  <c r="AC79" s="1"/>
  <c r="AC78" s="1"/>
  <c r="AC77" s="1"/>
  <c r="AC76" s="1"/>
  <c r="AC75" s="1"/>
  <c r="AC74" s="1"/>
  <c r="AC73" s="1"/>
  <c r="AC72" s="1"/>
  <c r="AC71" s="1"/>
  <c r="AC70" s="1"/>
  <c r="AC69" s="1"/>
  <c r="AC68" s="1"/>
  <c r="AC67" s="1"/>
  <c r="AI95"/>
  <c r="AI94" s="1"/>
  <c r="AI93" s="1"/>
  <c r="AI92" s="1"/>
  <c r="AI91" s="1"/>
  <c r="AI90" s="1"/>
  <c r="AI89" s="1"/>
  <c r="AI88" s="1"/>
  <c r="AI87" s="1"/>
  <c r="AI86" s="1"/>
  <c r="AI85" s="1"/>
  <c r="AI84" s="1"/>
  <c r="AI83" s="1"/>
  <c r="AI82" s="1"/>
  <c r="AI81" s="1"/>
  <c r="AI80" s="1"/>
  <c r="AI79" s="1"/>
  <c r="AI78" s="1"/>
  <c r="AI77" s="1"/>
  <c r="AI76" s="1"/>
  <c r="AI75" s="1"/>
  <c r="AI74" s="1"/>
  <c r="AI73" s="1"/>
  <c r="AI72" s="1"/>
  <c r="AI71" s="1"/>
  <c r="AI70" s="1"/>
  <c r="AI69" s="1"/>
  <c r="AI68" s="1"/>
  <c r="AI67" s="1"/>
  <c r="Z95"/>
  <c r="Z94" s="1"/>
  <c r="Z93" s="1"/>
  <c r="Z92" s="1"/>
  <c r="Z91" s="1"/>
  <c r="Z90" s="1"/>
  <c r="Z89" s="1"/>
  <c r="Z88" s="1"/>
  <c r="Z87" s="1"/>
  <c r="Z86" s="1"/>
  <c r="Z85" s="1"/>
  <c r="Z84" s="1"/>
  <c r="Z83" s="1"/>
  <c r="Z82" s="1"/>
  <c r="Z81" s="1"/>
  <c r="Z80" s="1"/>
  <c r="Z79" s="1"/>
  <c r="Z78" s="1"/>
  <c r="Z77" s="1"/>
  <c r="Z76" s="1"/>
  <c r="Z75" s="1"/>
  <c r="Z74" s="1"/>
  <c r="Z73" s="1"/>
  <c r="Z72" s="1"/>
  <c r="Z71" s="1"/>
  <c r="Z70" s="1"/>
  <c r="Z69" s="1"/>
  <c r="Z68" s="1"/>
  <c r="Z67" s="1"/>
  <c r="J95"/>
  <c r="AE94"/>
  <c r="AE93" s="1"/>
  <c r="AE92" s="1"/>
  <c r="AE91" s="1"/>
  <c r="AE90" s="1"/>
  <c r="AE89" s="1"/>
  <c r="AE88" s="1"/>
  <c r="AE87" s="1"/>
  <c r="AE86" s="1"/>
  <c r="AE85" s="1"/>
  <c r="AE84" s="1"/>
  <c r="AE83" s="1"/>
  <c r="AE82" s="1"/>
  <c r="AE81" s="1"/>
  <c r="AE80" s="1"/>
  <c r="AE79" s="1"/>
  <c r="AE78" s="1"/>
  <c r="AE77" s="1"/>
  <c r="AE76" s="1"/>
  <c r="AE75" s="1"/>
  <c r="AE74" s="1"/>
  <c r="AE73" s="1"/>
  <c r="AE72" s="1"/>
  <c r="AE71" s="1"/>
  <c r="AE70" s="1"/>
  <c r="AE69" s="1"/>
  <c r="AE68" s="1"/>
  <c r="AE67" s="1"/>
  <c r="W94"/>
  <c r="O94"/>
  <c r="O93" s="1"/>
  <c r="O92" s="1"/>
  <c r="O91" s="1"/>
  <c r="O90" s="1"/>
  <c r="O89" s="1"/>
  <c r="O88" s="1"/>
  <c r="O87" s="1"/>
  <c r="O86" s="1"/>
  <c r="O85" s="1"/>
  <c r="O84" s="1"/>
  <c r="O83" s="1"/>
  <c r="O82" s="1"/>
  <c r="O81" s="1"/>
  <c r="O80" s="1"/>
  <c r="O79" s="1"/>
  <c r="O78" s="1"/>
  <c r="O77" s="1"/>
  <c r="O76" s="1"/>
  <c r="O75" s="1"/>
  <c r="O74" s="1"/>
  <c r="O73" s="1"/>
  <c r="O72" s="1"/>
  <c r="O71" s="1"/>
  <c r="O70" s="1"/>
  <c r="O69" s="1"/>
  <c r="O68" s="1"/>
  <c r="O67"/>
  <c r="AJ95"/>
  <c r="AJ94" s="1"/>
  <c r="AJ93" s="1"/>
  <c r="AJ92" s="1"/>
  <c r="AJ91" s="1"/>
  <c r="AJ90" s="1"/>
  <c r="AJ89" s="1"/>
  <c r="AJ88" s="1"/>
  <c r="AJ87" s="1"/>
  <c r="AJ86" s="1"/>
  <c r="AJ85" s="1"/>
  <c r="AJ84" s="1"/>
  <c r="AJ83" s="1"/>
  <c r="AJ82" s="1"/>
  <c r="AJ81" s="1"/>
  <c r="AJ80" s="1"/>
  <c r="AJ79" s="1"/>
  <c r="AJ78" s="1"/>
  <c r="AJ77" s="1"/>
  <c r="AJ76" s="1"/>
  <c r="AJ75" s="1"/>
  <c r="AJ74" s="1"/>
  <c r="AJ73" s="1"/>
  <c r="AJ72" s="1"/>
  <c r="AJ71" s="1"/>
  <c r="AJ70" s="1"/>
  <c r="AJ69" s="1"/>
  <c r="AJ68" s="1"/>
  <c r="AJ67" s="1"/>
  <c r="AA95"/>
  <c r="S95"/>
  <c r="K95"/>
  <c r="K94" s="1"/>
  <c r="K93" s="1"/>
  <c r="K92" s="1"/>
  <c r="K91" s="1"/>
  <c r="K90" s="1"/>
  <c r="K89" s="1"/>
  <c r="K88" s="1"/>
  <c r="K87" s="1"/>
  <c r="K86" s="1"/>
  <c r="K85" s="1"/>
  <c r="K84" s="1"/>
  <c r="K83" s="1"/>
  <c r="K82" s="1"/>
  <c r="K81" s="1"/>
  <c r="K80" s="1"/>
  <c r="K79" s="1"/>
  <c r="K78" s="1"/>
  <c r="K77" s="1"/>
  <c r="K76" s="1"/>
  <c r="K75" s="1"/>
  <c r="K74" s="1"/>
  <c r="K73" s="1"/>
  <c r="K72" s="1"/>
  <c r="K71" s="1"/>
  <c r="K70" s="1"/>
  <c r="K69" s="1"/>
  <c r="K68" s="1"/>
  <c r="K67" s="1"/>
  <c r="AF94"/>
  <c r="AF93" s="1"/>
  <c r="AF92" s="1"/>
  <c r="AF91" s="1"/>
  <c r="AF90" s="1"/>
  <c r="AF89" s="1"/>
  <c r="AF88" s="1"/>
  <c r="AF87" s="1"/>
  <c r="AF86" s="1"/>
  <c r="AF85" s="1"/>
  <c r="AF84" s="1"/>
  <c r="AF83" s="1"/>
  <c r="AF82" s="1"/>
  <c r="AF81" s="1"/>
  <c r="AF80" s="1"/>
  <c r="AF79" s="1"/>
  <c r="AF78" s="1"/>
  <c r="AF77" s="1"/>
  <c r="AF76" s="1"/>
  <c r="AF75" s="1"/>
  <c r="AF74" s="1"/>
  <c r="AF73" s="1"/>
  <c r="AF72" s="1"/>
  <c r="AF71" s="1"/>
  <c r="AF70" s="1"/>
  <c r="AF69" s="1"/>
  <c r="AF68" s="1"/>
  <c r="AF67" s="1"/>
  <c r="P94"/>
  <c r="P93" s="1"/>
  <c r="P92" s="1"/>
  <c r="P91" s="1"/>
  <c r="P90" s="1"/>
  <c r="P89" s="1"/>
  <c r="P88" s="1"/>
  <c r="P87" s="1"/>
  <c r="P86" s="1"/>
  <c r="P85" s="1"/>
  <c r="P84" s="1"/>
  <c r="P83" s="1"/>
  <c r="P82" s="1"/>
  <c r="P81" s="1"/>
  <c r="P80" s="1"/>
  <c r="P79" s="1"/>
  <c r="P78" s="1"/>
  <c r="P77" s="1"/>
  <c r="P76" s="1"/>
  <c r="P75" s="1"/>
  <c r="P74" s="1"/>
  <c r="P73" s="1"/>
  <c r="P72" s="1"/>
  <c r="P71" s="1"/>
  <c r="P70" s="1"/>
  <c r="P69" s="1"/>
  <c r="P68" s="1"/>
  <c r="H94"/>
  <c r="H93" s="1"/>
  <c r="H92" s="1"/>
  <c r="H91" s="1"/>
  <c r="H90" s="1"/>
  <c r="H89" s="1"/>
  <c r="H88" s="1"/>
  <c r="H87" s="1"/>
  <c r="H86" s="1"/>
  <c r="H85" s="1"/>
  <c r="H84" s="1"/>
  <c r="H83" s="1"/>
  <c r="H82" s="1"/>
  <c r="H81" s="1"/>
  <c r="H80" s="1"/>
  <c r="H79" s="1"/>
  <c r="H78" s="1"/>
  <c r="H77" s="1"/>
  <c r="H76" s="1"/>
  <c r="H75" s="1"/>
  <c r="H74" s="1"/>
  <c r="H73" s="1"/>
  <c r="H72" s="1"/>
  <c r="H71" s="1"/>
  <c r="H70" s="1"/>
  <c r="H69" s="1"/>
  <c r="H68" s="1"/>
  <c r="H67" s="1"/>
  <c r="W93"/>
  <c r="W92" s="1"/>
  <c r="W91" s="1"/>
  <c r="W90" s="1"/>
  <c r="W89" s="1"/>
  <c r="W88" s="1"/>
  <c r="W87" s="1"/>
  <c r="W86" s="1"/>
  <c r="W85" s="1"/>
  <c r="W84" s="1"/>
  <c r="W83" s="1"/>
  <c r="W82" s="1"/>
  <c r="W81" s="1"/>
  <c r="W80" s="1"/>
  <c r="W79" s="1"/>
  <c r="W78" s="1"/>
  <c r="W77" s="1"/>
  <c r="W76" s="1"/>
  <c r="W75" s="1"/>
  <c r="W74" s="1"/>
  <c r="W73" s="1"/>
  <c r="W72" s="1"/>
  <c r="W71" s="1"/>
  <c r="W70" s="1"/>
  <c r="W69" s="1"/>
  <c r="W68" s="1"/>
  <c r="W67" s="1"/>
  <c r="P67"/>
  <c r="AM95"/>
  <c r="G95"/>
  <c r="G94" s="1"/>
  <c r="G93" s="1"/>
  <c r="G92" s="1"/>
  <c r="G91" s="1"/>
  <c r="G90" s="1"/>
  <c r="G89" s="1"/>
  <c r="G88" s="1"/>
  <c r="G87" s="1"/>
  <c r="G86" s="1"/>
  <c r="G85" s="1"/>
  <c r="G84" s="1"/>
  <c r="G83" s="1"/>
  <c r="G82" s="1"/>
  <c r="G81" s="1"/>
  <c r="G80" s="1"/>
  <c r="G79" s="1"/>
  <c r="G78" s="1"/>
  <c r="G77" s="1"/>
  <c r="G76" s="1"/>
  <c r="G75" s="1"/>
  <c r="G74" s="1"/>
  <c r="G73" s="1"/>
  <c r="G72" s="1"/>
  <c r="G71" s="1"/>
  <c r="G70" s="1"/>
  <c r="G69" s="1"/>
  <c r="G68" s="1"/>
  <c r="G67" s="1"/>
  <c r="AB95"/>
  <c r="AB94" s="1"/>
  <c r="AB93" s="1"/>
  <c r="AB92" s="1"/>
  <c r="AB91" s="1"/>
  <c r="AB90" s="1"/>
  <c r="AB89" s="1"/>
  <c r="AB88" s="1"/>
  <c r="AB87" s="1"/>
  <c r="AB86" s="1"/>
  <c r="AB85" s="1"/>
  <c r="AB84" s="1"/>
  <c r="AB83" s="1"/>
  <c r="AB82" s="1"/>
  <c r="AB81" s="1"/>
  <c r="AB80" s="1"/>
  <c r="AB79" s="1"/>
  <c r="AB78" s="1"/>
  <c r="AB77" s="1"/>
  <c r="AB76" s="1"/>
  <c r="AB75" s="1"/>
  <c r="AB74" s="1"/>
  <c r="AB73" s="1"/>
  <c r="AB72" s="1"/>
  <c r="AB71" s="1"/>
  <c r="AB70" s="1"/>
  <c r="AB69" s="1"/>
  <c r="AB68" s="1"/>
  <c r="AB67" s="1"/>
  <c r="T95"/>
  <c r="T94" s="1"/>
  <c r="T93" s="1"/>
  <c r="T92" s="1"/>
  <c r="T91" s="1"/>
  <c r="T90" s="1"/>
  <c r="T89" s="1"/>
  <c r="T88" s="1"/>
  <c r="T87" s="1"/>
  <c r="T86" s="1"/>
  <c r="T85" s="1"/>
  <c r="T84" s="1"/>
  <c r="T83" s="1"/>
  <c r="T82" s="1"/>
  <c r="T81" s="1"/>
  <c r="T80" s="1"/>
  <c r="T79" s="1"/>
  <c r="T78" s="1"/>
  <c r="T77" s="1"/>
  <c r="T76" s="1"/>
  <c r="T75" s="1"/>
  <c r="T74" s="1"/>
  <c r="T73" s="1"/>
  <c r="T72" s="1"/>
  <c r="T71" s="1"/>
  <c r="T70" s="1"/>
  <c r="T69" s="1"/>
  <c r="T68" s="1"/>
  <c r="T67" s="1"/>
  <c r="L95"/>
  <c r="L94" s="1"/>
  <c r="L93" s="1"/>
  <c r="L92" s="1"/>
  <c r="L91" s="1"/>
  <c r="L90" s="1"/>
  <c r="L89" s="1"/>
  <c r="L88" s="1"/>
  <c r="L87" s="1"/>
  <c r="L86" s="1"/>
  <c r="L85" s="1"/>
  <c r="L84" s="1"/>
  <c r="L83" s="1"/>
  <c r="L82" s="1"/>
  <c r="L81" s="1"/>
  <c r="L80" s="1"/>
  <c r="L79" s="1"/>
  <c r="L78" s="1"/>
  <c r="L77" s="1"/>
  <c r="L76" s="1"/>
  <c r="L75" s="1"/>
  <c r="L74" s="1"/>
  <c r="L73" s="1"/>
  <c r="L72" s="1"/>
  <c r="L71" s="1"/>
  <c r="L70" s="1"/>
  <c r="L69" s="1"/>
  <c r="L68" s="1"/>
  <c r="L67" s="1"/>
  <c r="AG94"/>
  <c r="AG93" s="1"/>
  <c r="AG92" s="1"/>
  <c r="AG91" s="1"/>
  <c r="AG90" s="1"/>
  <c r="AG89" s="1"/>
  <c r="AG88" s="1"/>
  <c r="AG87" s="1"/>
  <c r="AG86" s="1"/>
  <c r="AG85" s="1"/>
  <c r="AG84" s="1"/>
  <c r="AG83" s="1"/>
  <c r="AG82" s="1"/>
  <c r="AG81" s="1"/>
  <c r="AG80" s="1"/>
  <c r="AG79" s="1"/>
  <c r="AG78" s="1"/>
  <c r="AG77" s="1"/>
  <c r="AG76" s="1"/>
  <c r="AG75" s="1"/>
  <c r="AG74" s="1"/>
  <c r="AG73" s="1"/>
  <c r="AG72" s="1"/>
  <c r="AG71" s="1"/>
  <c r="AG70" s="1"/>
  <c r="AG69" s="1"/>
  <c r="AG68" s="1"/>
  <c r="AG67" s="1"/>
  <c r="Y94"/>
  <c r="Y93" s="1"/>
  <c r="Y92" s="1"/>
  <c r="Y91" s="1"/>
  <c r="Y90" s="1"/>
  <c r="Y89" s="1"/>
  <c r="Y88" s="1"/>
  <c r="Y87" s="1"/>
  <c r="Y86" s="1"/>
  <c r="Y85" s="1"/>
  <c r="Y84" s="1"/>
  <c r="Y83" s="1"/>
  <c r="Y82" s="1"/>
  <c r="Y81" s="1"/>
  <c r="Y80" s="1"/>
  <c r="Y79" s="1"/>
  <c r="Y78" s="1"/>
  <c r="Y77" s="1"/>
  <c r="Y76" s="1"/>
  <c r="Y75" s="1"/>
  <c r="Y74" s="1"/>
  <c r="Y73" s="1"/>
  <c r="Y72" s="1"/>
  <c r="Y71" s="1"/>
  <c r="Y70" s="1"/>
  <c r="Y69" s="1"/>
  <c r="Y68" s="1"/>
  <c r="Y67" s="1"/>
  <c r="Q94"/>
  <c r="Q93" s="1"/>
  <c r="Q92" s="1"/>
  <c r="Q91" s="1"/>
  <c r="Q90" s="1"/>
  <c r="Q89" s="1"/>
  <c r="Q88" s="1"/>
  <c r="Q87" s="1"/>
  <c r="Q86" s="1"/>
  <c r="Q85" s="1"/>
  <c r="Q84" s="1"/>
  <c r="Q83" s="1"/>
  <c r="Q82" s="1"/>
  <c r="Q81" s="1"/>
  <c r="Q80" s="1"/>
  <c r="Q79" s="1"/>
  <c r="Q78" s="1"/>
  <c r="Q77" s="1"/>
  <c r="Q76" s="1"/>
  <c r="Q75" s="1"/>
  <c r="Q74" s="1"/>
  <c r="Q73" s="1"/>
  <c r="Q72" s="1"/>
  <c r="Q71" s="1"/>
  <c r="Q70" s="1"/>
  <c r="Q69" s="1"/>
  <c r="Q68" s="1"/>
  <c r="Q67"/>
  <c r="AC95"/>
  <c r="U95"/>
  <c r="U94" s="1"/>
  <c r="U93" s="1"/>
  <c r="U92" s="1"/>
  <c r="U91" s="1"/>
  <c r="U90" s="1"/>
  <c r="U89" s="1"/>
  <c r="U88" s="1"/>
  <c r="U87" s="1"/>
  <c r="U86" s="1"/>
  <c r="U85" s="1"/>
  <c r="U84" s="1"/>
  <c r="U83" s="1"/>
  <c r="U82" s="1"/>
  <c r="U81" s="1"/>
  <c r="U80" s="1"/>
  <c r="U79" s="1"/>
  <c r="U78" s="1"/>
  <c r="U77" s="1"/>
  <c r="U76" s="1"/>
  <c r="U75" s="1"/>
  <c r="U74" s="1"/>
  <c r="U73" s="1"/>
  <c r="U72" s="1"/>
  <c r="U71" s="1"/>
  <c r="U70" s="1"/>
  <c r="U69" s="1"/>
  <c r="U68" s="1"/>
  <c r="U67" s="1"/>
  <c r="M95"/>
  <c r="M94" s="1"/>
  <c r="M93" s="1"/>
  <c r="M92" s="1"/>
  <c r="M91" s="1"/>
  <c r="M90" s="1"/>
  <c r="M89" s="1"/>
  <c r="M88" s="1"/>
  <c r="M87" s="1"/>
  <c r="M86" s="1"/>
  <c r="M85" s="1"/>
  <c r="M84" s="1"/>
  <c r="M83" s="1"/>
  <c r="M82" s="1"/>
  <c r="M81" s="1"/>
  <c r="M80" s="1"/>
  <c r="M79" s="1"/>
  <c r="M78" s="1"/>
  <c r="M77" s="1"/>
  <c r="M76" s="1"/>
  <c r="M75" s="1"/>
  <c r="M74" s="1"/>
  <c r="M73" s="1"/>
  <c r="M72" s="1"/>
  <c r="M71" s="1"/>
  <c r="M70" s="1"/>
  <c r="M69" s="1"/>
  <c r="M68" s="1"/>
  <c r="M67" s="1"/>
  <c r="J94"/>
  <c r="J93" s="1"/>
  <c r="J92" s="1"/>
  <c r="J91" s="1"/>
  <c r="J90" s="1"/>
  <c r="J89" s="1"/>
  <c r="J88" s="1"/>
  <c r="J87" s="1"/>
  <c r="J86" s="1"/>
  <c r="J85" s="1"/>
  <c r="J84" s="1"/>
  <c r="J83" s="1"/>
  <c r="J82" s="1"/>
  <c r="J81" s="1"/>
  <c r="J80" s="1"/>
  <c r="J79" s="1"/>
  <c r="J78" s="1"/>
  <c r="J77" s="1"/>
  <c r="J76" s="1"/>
  <c r="J75" s="1"/>
  <c r="J74" s="1"/>
  <c r="J73" s="1"/>
  <c r="J72" s="1"/>
  <c r="J71" s="1"/>
  <c r="J70" s="1"/>
  <c r="J69" s="1"/>
  <c r="J68" s="1"/>
  <c r="J67" s="1"/>
  <c r="AA93"/>
  <c r="AA92" s="1"/>
  <c r="AA91" s="1"/>
  <c r="AA90" s="1"/>
  <c r="AA89" s="1"/>
  <c r="AA88" s="1"/>
  <c r="AA87" s="1"/>
  <c r="AA86" s="1"/>
  <c r="AA85" s="1"/>
  <c r="AA84" s="1"/>
  <c r="AA83" s="1"/>
  <c r="AA82" s="1"/>
  <c r="AA81" s="1"/>
  <c r="AA80" s="1"/>
  <c r="AA79" s="1"/>
  <c r="AA78" s="1"/>
  <c r="AA77" s="1"/>
  <c r="AA76" s="1"/>
  <c r="AA75" s="1"/>
  <c r="AA74" s="1"/>
  <c r="AA73" s="1"/>
  <c r="AA72" s="1"/>
  <c r="AA71" s="1"/>
  <c r="AA70" s="1"/>
  <c r="AA69" s="1"/>
  <c r="AA68" s="1"/>
  <c r="AA67" s="1"/>
  <c r="AD95"/>
  <c r="V95"/>
  <c r="V94" s="1"/>
  <c r="V93" s="1"/>
  <c r="V92" s="1"/>
  <c r="V91" s="1"/>
  <c r="V90" s="1"/>
  <c r="V89" s="1"/>
  <c r="V88" s="1"/>
  <c r="V87" s="1"/>
  <c r="V86" s="1"/>
  <c r="V85" s="1"/>
  <c r="V84" s="1"/>
  <c r="V83" s="1"/>
  <c r="V82" s="1"/>
  <c r="V81" s="1"/>
  <c r="V80" s="1"/>
  <c r="V79" s="1"/>
  <c r="V78" s="1"/>
  <c r="V77" s="1"/>
  <c r="V76" s="1"/>
  <c r="V75" s="1"/>
  <c r="V74" s="1"/>
  <c r="V73" s="1"/>
  <c r="V72" s="1"/>
  <c r="V71" s="1"/>
  <c r="V70" s="1"/>
  <c r="V69" s="1"/>
  <c r="V68" s="1"/>
  <c r="V67" s="1"/>
  <c r="N95"/>
  <c r="N94" s="1"/>
  <c r="N93" s="1"/>
  <c r="N92" s="1"/>
  <c r="N91" s="1"/>
  <c r="N90" s="1"/>
  <c r="N89" s="1"/>
  <c r="N88" s="1"/>
  <c r="N87" s="1"/>
  <c r="N86" s="1"/>
  <c r="N85" s="1"/>
  <c r="N84" s="1"/>
  <c r="N83" s="1"/>
  <c r="N82" s="1"/>
  <c r="N81" s="1"/>
  <c r="N80" s="1"/>
  <c r="N79" s="1"/>
  <c r="N78" s="1"/>
  <c r="N77" s="1"/>
  <c r="N76" s="1"/>
  <c r="N75" s="1"/>
  <c r="N74" s="1"/>
  <c r="N73" s="1"/>
  <c r="N72" s="1"/>
  <c r="N71" s="1"/>
  <c r="N70" s="1"/>
  <c r="N69" s="1"/>
  <c r="N68" s="1"/>
  <c r="N67" s="1"/>
  <c r="AA94"/>
  <c r="S94"/>
  <c r="BP94"/>
  <c r="AH95"/>
  <c r="AH94" s="1"/>
  <c r="AH93" s="1"/>
  <c r="AH92" s="1"/>
  <c r="AH91" s="1"/>
  <c r="AH90" s="1"/>
  <c r="AH89" s="1"/>
  <c r="AH88" s="1"/>
  <c r="AH87" s="1"/>
  <c r="AH86" s="1"/>
  <c r="AH85" s="1"/>
  <c r="AH84" s="1"/>
  <c r="AH83" s="1"/>
  <c r="AH82" s="1"/>
  <c r="AH81" s="1"/>
  <c r="AH80" s="1"/>
  <c r="AH79" s="1"/>
  <c r="AH78" s="1"/>
  <c r="AH77" s="1"/>
  <c r="AH76" s="1"/>
  <c r="AH75" s="1"/>
  <c r="AH74" s="1"/>
  <c r="AH73" s="1"/>
  <c r="AH72" s="1"/>
  <c r="AH71" s="1"/>
  <c r="AH70" s="1"/>
  <c r="AH69" s="1"/>
  <c r="AH68" s="1"/>
  <c r="AH67" s="1"/>
  <c r="Y95"/>
  <c r="Q95"/>
  <c r="I95"/>
  <c r="I94" s="1"/>
  <c r="I93" s="1"/>
  <c r="I92" s="1"/>
  <c r="I91" s="1"/>
  <c r="I90" s="1"/>
  <c r="I89" s="1"/>
  <c r="I88" s="1"/>
  <c r="I87" s="1"/>
  <c r="I86" s="1"/>
  <c r="I85" s="1"/>
  <c r="I84" s="1"/>
  <c r="I83" s="1"/>
  <c r="I82" s="1"/>
  <c r="I81" s="1"/>
  <c r="I80" s="1"/>
  <c r="I79" s="1"/>
  <c r="I78" s="1"/>
  <c r="I77" s="1"/>
  <c r="I76" s="1"/>
  <c r="I75" s="1"/>
  <c r="I74" s="1"/>
  <c r="I73" s="1"/>
  <c r="I72" s="1"/>
  <c r="I71" s="1"/>
  <c r="I70" s="1"/>
  <c r="I69" s="1"/>
  <c r="I68" s="1"/>
  <c r="I67" s="1"/>
  <c r="AD94"/>
  <c r="AD93" s="1"/>
  <c r="AD92" s="1"/>
  <c r="AD91" s="1"/>
  <c r="AD90" s="1"/>
  <c r="AD89" s="1"/>
  <c r="AD88" s="1"/>
  <c r="AD87" s="1"/>
  <c r="AD86" s="1"/>
  <c r="AD85" s="1"/>
  <c r="AD84" s="1"/>
  <c r="AD83" s="1"/>
  <c r="AD82" s="1"/>
  <c r="AD81" s="1"/>
  <c r="AD80" s="1"/>
  <c r="AD79" s="1"/>
  <c r="AD78" s="1"/>
  <c r="AD77" s="1"/>
  <c r="AD76" s="1"/>
  <c r="AD75" s="1"/>
  <c r="AD74" s="1"/>
  <c r="AD73" s="1"/>
  <c r="AD72" s="1"/>
  <c r="AD71" s="1"/>
  <c r="AD70" s="1"/>
  <c r="AD69" s="1"/>
  <c r="AD68" s="1"/>
  <c r="AD67" s="1"/>
  <c r="S93"/>
  <c r="S92" s="1"/>
  <c r="S91" s="1"/>
  <c r="S90" s="1"/>
  <c r="S89" s="1"/>
  <c r="S88" s="1"/>
  <c r="S87" s="1"/>
  <c r="S86" s="1"/>
  <c r="S85" s="1"/>
  <c r="S84" s="1"/>
  <c r="S83" s="1"/>
  <c r="S82" s="1"/>
  <c r="S81" s="1"/>
  <c r="S80" s="1"/>
  <c r="S79" s="1"/>
  <c r="S78" s="1"/>
  <c r="S77" s="1"/>
  <c r="S76" s="1"/>
  <c r="S75" s="1"/>
  <c r="S74" s="1"/>
  <c r="S73" s="1"/>
  <c r="S72" s="1"/>
  <c r="S71" s="1"/>
  <c r="S70" s="1"/>
  <c r="S69" s="1"/>
  <c r="S68" s="1"/>
  <c r="S67" s="1"/>
  <c r="AF95"/>
  <c r="R95"/>
  <c r="R94" s="1"/>
  <c r="R93" s="1"/>
  <c r="R92" s="1"/>
  <c r="R91" s="1"/>
  <c r="R90" s="1"/>
  <c r="R89" s="1"/>
  <c r="R88" s="1"/>
  <c r="R87" s="1"/>
  <c r="R86" s="1"/>
  <c r="R85" s="1"/>
  <c r="R84" s="1"/>
  <c r="R83" s="1"/>
  <c r="R82" s="1"/>
  <c r="R81" s="1"/>
  <c r="R80" s="1"/>
  <c r="R79" s="1"/>
  <c r="R78" s="1"/>
  <c r="R77" s="1"/>
  <c r="R76" s="1"/>
  <c r="R75" s="1"/>
  <c r="R74" s="1"/>
  <c r="R73" s="1"/>
  <c r="R72" s="1"/>
  <c r="R71" s="1"/>
  <c r="R70" s="1"/>
  <c r="R69" s="1"/>
  <c r="R68" s="1"/>
  <c r="R67" s="1"/>
  <c r="I63"/>
  <c r="J63" s="1"/>
  <c r="K63" s="1"/>
  <c r="L63" s="1"/>
  <c r="M63" s="1"/>
  <c r="N63" s="1"/>
  <c r="O63" s="1"/>
  <c r="P63" s="1"/>
  <c r="Q63" s="1"/>
  <c r="R63" s="1"/>
  <c r="S63" s="1"/>
  <c r="T63" s="1"/>
  <c r="U63" s="1"/>
  <c r="V63" s="1"/>
  <c r="W63" s="1"/>
  <c r="X63" s="1"/>
  <c r="Y63" s="1"/>
  <c r="Z63" s="1"/>
  <c r="AA63" s="1"/>
  <c r="AB63" s="1"/>
  <c r="AC63" s="1"/>
  <c r="AD63" s="1"/>
  <c r="AE63" s="1"/>
  <c r="AF63" s="1"/>
  <c r="AG63" s="1"/>
  <c r="AH63" s="1"/>
  <c r="AI63" s="1"/>
  <c r="AJ63" s="1"/>
  <c r="H61"/>
  <c r="H58"/>
  <c r="H53"/>
  <c r="I53" s="1"/>
  <c r="J53" s="1"/>
  <c r="K53" s="1"/>
  <c r="L53" s="1"/>
  <c r="M53" s="1"/>
  <c r="N53" s="1"/>
  <c r="O53" s="1"/>
  <c r="P53" s="1"/>
  <c r="Q53" s="1"/>
  <c r="R53" s="1"/>
  <c r="S53" s="1"/>
  <c r="T53" s="1"/>
  <c r="U53" s="1"/>
  <c r="V53" s="1"/>
  <c r="W53" s="1"/>
  <c r="X53" s="1"/>
  <c r="Y53" s="1"/>
  <c r="Z53" s="1"/>
  <c r="AA53" s="1"/>
  <c r="AB53" s="1"/>
  <c r="AC53" s="1"/>
  <c r="AD53" s="1"/>
  <c r="AE53" s="1"/>
  <c r="AF53" s="1"/>
  <c r="AG53" s="1"/>
  <c r="AH53" s="1"/>
  <c r="AI53" s="1"/>
  <c r="AJ53" s="1"/>
  <c r="I51"/>
  <c r="J51" s="1"/>
  <c r="K51" s="1"/>
  <c r="L51" s="1"/>
  <c r="M51" s="1"/>
  <c r="N51" s="1"/>
  <c r="O51" s="1"/>
  <c r="P51" s="1"/>
  <c r="Q51" s="1"/>
  <c r="R51" s="1"/>
  <c r="S51" s="1"/>
  <c r="T51" s="1"/>
  <c r="U51" s="1"/>
  <c r="V51" s="1"/>
  <c r="W51" s="1"/>
  <c r="X51" s="1"/>
  <c r="Y51" s="1"/>
  <c r="Z51" s="1"/>
  <c r="AA51" s="1"/>
  <c r="AB51" s="1"/>
  <c r="AC51" s="1"/>
  <c r="AD51" s="1"/>
  <c r="AE51" s="1"/>
  <c r="AF51" s="1"/>
  <c r="AG51" s="1"/>
  <c r="AH51" s="1"/>
  <c r="AI51" s="1"/>
  <c r="AJ51" s="1"/>
  <c r="H50"/>
  <c r="I50" s="1"/>
  <c r="J50" s="1"/>
  <c r="K50" s="1"/>
  <c r="L50" s="1"/>
  <c r="M50" s="1"/>
  <c r="N50" s="1"/>
  <c r="O50" s="1"/>
  <c r="P50" s="1"/>
  <c r="Q50" s="1"/>
  <c r="R50" s="1"/>
  <c r="S50" s="1"/>
  <c r="T50" s="1"/>
  <c r="U50" s="1"/>
  <c r="V50" s="1"/>
  <c r="W50" s="1"/>
  <c r="X50" s="1"/>
  <c r="Y50" s="1"/>
  <c r="Z50" s="1"/>
  <c r="AA50" s="1"/>
  <c r="AB50" s="1"/>
  <c r="AC50" s="1"/>
  <c r="AD50" s="1"/>
  <c r="AE50" s="1"/>
  <c r="AF50" s="1"/>
  <c r="AG50" s="1"/>
  <c r="AH50" s="1"/>
  <c r="AI50" s="1"/>
  <c r="AJ50" s="1"/>
  <c r="H46"/>
  <c r="H41"/>
  <c r="I41" s="1"/>
  <c r="H38"/>
  <c r="I38" s="1"/>
  <c r="J38" s="1"/>
  <c r="K38" s="1"/>
  <c r="L38" s="1"/>
  <c r="M38" s="1"/>
  <c r="N38" s="1"/>
  <c r="O38" s="1"/>
  <c r="P38" s="1"/>
  <c r="Q38" s="1"/>
  <c r="R38" s="1"/>
  <c r="S38" s="1"/>
  <c r="T38" s="1"/>
  <c r="U38" s="1"/>
  <c r="V38" s="1"/>
  <c r="W38" s="1"/>
  <c r="X38" s="1"/>
  <c r="Y38" s="1"/>
  <c r="Z38" s="1"/>
  <c r="AA38" s="1"/>
  <c r="AB38" s="1"/>
  <c r="AC38" s="1"/>
  <c r="AD38" s="1"/>
  <c r="AE38" s="1"/>
  <c r="AF38" s="1"/>
  <c r="AG38" s="1"/>
  <c r="AH38" s="1"/>
  <c r="AI38" s="1"/>
  <c r="AJ38" s="1"/>
  <c r="I35"/>
  <c r="J35" s="1"/>
  <c r="K35" s="1"/>
  <c r="L35" s="1"/>
  <c r="M35" s="1"/>
  <c r="N35" s="1"/>
  <c r="O35" s="1"/>
  <c r="P35" s="1"/>
  <c r="Q35" s="1"/>
  <c r="R35" s="1"/>
  <c r="S35" s="1"/>
  <c r="T35" s="1"/>
  <c r="U35" s="1"/>
  <c r="V35" s="1"/>
  <c r="W35" s="1"/>
  <c r="X35" s="1"/>
  <c r="Y35" s="1"/>
  <c r="Z35" s="1"/>
  <c r="AA35" s="1"/>
  <c r="AB35" s="1"/>
  <c r="AC35" s="1"/>
  <c r="AD35" s="1"/>
  <c r="AE35" s="1"/>
  <c r="AF35" s="1"/>
  <c r="AG35" s="1"/>
  <c r="AH35" s="1"/>
  <c r="AI35" s="1"/>
  <c r="AJ35" s="1"/>
  <c r="I61"/>
  <c r="J61" s="1"/>
  <c r="K61" s="1"/>
  <c r="L61" s="1"/>
  <c r="M61" s="1"/>
  <c r="N61" s="1"/>
  <c r="O61" s="1"/>
  <c r="P61" s="1"/>
  <c r="Q61" s="1"/>
  <c r="R61" s="1"/>
  <c r="S61" s="1"/>
  <c r="T61" s="1"/>
  <c r="U61" s="1"/>
  <c r="V61" s="1"/>
  <c r="W61" s="1"/>
  <c r="X61" s="1"/>
  <c r="Y61" s="1"/>
  <c r="Z61" s="1"/>
  <c r="AA61" s="1"/>
  <c r="AB61" s="1"/>
  <c r="AC61" s="1"/>
  <c r="AD61" s="1"/>
  <c r="AE61" s="1"/>
  <c r="AF61" s="1"/>
  <c r="AG61" s="1"/>
  <c r="AH61" s="1"/>
  <c r="AI61" s="1"/>
  <c r="AJ61" s="1"/>
  <c r="I58"/>
  <c r="J58" s="1"/>
  <c r="K58" s="1"/>
  <c r="L58" s="1"/>
  <c r="M58" s="1"/>
  <c r="N58" s="1"/>
  <c r="O58" s="1"/>
  <c r="P58" s="1"/>
  <c r="Q58" s="1"/>
  <c r="R58" s="1"/>
  <c r="S58" s="1"/>
  <c r="T58" s="1"/>
  <c r="U58" s="1"/>
  <c r="V58" s="1"/>
  <c r="W58" s="1"/>
  <c r="X58" s="1"/>
  <c r="Y58" s="1"/>
  <c r="Z58" s="1"/>
  <c r="AA58" s="1"/>
  <c r="AB58" s="1"/>
  <c r="AC58" s="1"/>
  <c r="AD58" s="1"/>
  <c r="AE58" s="1"/>
  <c r="AF58" s="1"/>
  <c r="AG58" s="1"/>
  <c r="AH58" s="1"/>
  <c r="AI58" s="1"/>
  <c r="AJ58" s="1"/>
  <c r="H56"/>
  <c r="I56" s="1"/>
  <c r="J56" s="1"/>
  <c r="K56" s="1"/>
  <c r="L56" s="1"/>
  <c r="M56" s="1"/>
  <c r="N56" s="1"/>
  <c r="O56" s="1"/>
  <c r="P56" s="1"/>
  <c r="Q56" s="1"/>
  <c r="R56" s="1"/>
  <c r="S56" s="1"/>
  <c r="T56" s="1"/>
  <c r="U56" s="1"/>
  <c r="V56" s="1"/>
  <c r="W56" s="1"/>
  <c r="X56" s="1"/>
  <c r="Y56" s="1"/>
  <c r="Z56" s="1"/>
  <c r="AA56" s="1"/>
  <c r="AB56" s="1"/>
  <c r="AC56" s="1"/>
  <c r="AD56" s="1"/>
  <c r="AE56" s="1"/>
  <c r="AF56" s="1"/>
  <c r="AG56" s="1"/>
  <c r="AH56" s="1"/>
  <c r="AI56" s="1"/>
  <c r="AJ56" s="1"/>
  <c r="I46"/>
  <c r="J46" s="1"/>
  <c r="K46" s="1"/>
  <c r="L46" s="1"/>
  <c r="M46" s="1"/>
  <c r="N46" s="1"/>
  <c r="O46" s="1"/>
  <c r="P46" s="1"/>
  <c r="Q46" s="1"/>
  <c r="R46" s="1"/>
  <c r="S46" s="1"/>
  <c r="T46" s="1"/>
  <c r="U46" s="1"/>
  <c r="V46" s="1"/>
  <c r="W46" s="1"/>
  <c r="X46" s="1"/>
  <c r="Y46" s="1"/>
  <c r="Z46" s="1"/>
  <c r="AA46" s="1"/>
  <c r="AB46" s="1"/>
  <c r="AC46" s="1"/>
  <c r="AD46" s="1"/>
  <c r="AE46" s="1"/>
  <c r="AF46" s="1"/>
  <c r="AG46" s="1"/>
  <c r="AH46" s="1"/>
  <c r="AI46" s="1"/>
  <c r="AJ46" s="1"/>
  <c r="J41"/>
  <c r="K41" s="1"/>
  <c r="L41" s="1"/>
  <c r="M41" s="1"/>
  <c r="N41" s="1"/>
  <c r="O41" s="1"/>
  <c r="P41" s="1"/>
  <c r="Q41" s="1"/>
  <c r="R41" s="1"/>
  <c r="S41" s="1"/>
  <c r="T41" s="1"/>
  <c r="U41" s="1"/>
  <c r="V41" s="1"/>
  <c r="W41" s="1"/>
  <c r="X41" s="1"/>
  <c r="Y41" s="1"/>
  <c r="Z41" s="1"/>
  <c r="AA41" s="1"/>
  <c r="AB41" s="1"/>
  <c r="AC41" s="1"/>
  <c r="AD41" s="1"/>
  <c r="AE41" s="1"/>
  <c r="AF41" s="1"/>
  <c r="AG41" s="1"/>
  <c r="AH41" s="1"/>
  <c r="AI41" s="1"/>
  <c r="AJ41" s="1"/>
  <c r="H62"/>
  <c r="K59"/>
  <c r="L54"/>
  <c r="M54" s="1"/>
  <c r="N54" s="1"/>
  <c r="O54" s="1"/>
  <c r="P54" s="1"/>
  <c r="Q54" s="1"/>
  <c r="R54" s="1"/>
  <c r="S54" s="1"/>
  <c r="T54" s="1"/>
  <c r="U54" s="1"/>
  <c r="V54" s="1"/>
  <c r="W54" s="1"/>
  <c r="X54" s="1"/>
  <c r="Y54" s="1"/>
  <c r="Z54" s="1"/>
  <c r="AA54" s="1"/>
  <c r="AB54" s="1"/>
  <c r="AC54" s="1"/>
  <c r="AD54" s="1"/>
  <c r="AE54" s="1"/>
  <c r="AF54" s="1"/>
  <c r="AG54" s="1"/>
  <c r="AH54" s="1"/>
  <c r="AI54" s="1"/>
  <c r="AJ54" s="1"/>
  <c r="I52"/>
  <c r="J52" s="1"/>
  <c r="K52" s="1"/>
  <c r="L52" s="1"/>
  <c r="M52" s="1"/>
  <c r="N52" s="1"/>
  <c r="O52" s="1"/>
  <c r="P52" s="1"/>
  <c r="Q52" s="1"/>
  <c r="R52" s="1"/>
  <c r="S52" s="1"/>
  <c r="T52" s="1"/>
  <c r="U52" s="1"/>
  <c r="V52" s="1"/>
  <c r="W52" s="1"/>
  <c r="X52" s="1"/>
  <c r="Y52" s="1"/>
  <c r="Z52" s="1"/>
  <c r="AA52" s="1"/>
  <c r="AB52" s="1"/>
  <c r="AC52" s="1"/>
  <c r="AD52" s="1"/>
  <c r="AE52" s="1"/>
  <c r="AF52" s="1"/>
  <c r="AG52" s="1"/>
  <c r="AH52" s="1"/>
  <c r="AI52" s="1"/>
  <c r="AJ52" s="1"/>
  <c r="Q48"/>
  <c r="R48" s="1"/>
  <c r="S48" s="1"/>
  <c r="T48" s="1"/>
  <c r="U48" s="1"/>
  <c r="V48" s="1"/>
  <c r="W48" s="1"/>
  <c r="X48" s="1"/>
  <c r="Y48" s="1"/>
  <c r="Z48" s="1"/>
  <c r="AA48" s="1"/>
  <c r="AB48" s="1"/>
  <c r="AC48" s="1"/>
  <c r="AD48" s="1"/>
  <c r="AE48" s="1"/>
  <c r="AF48" s="1"/>
  <c r="AG48" s="1"/>
  <c r="AH48" s="1"/>
  <c r="AI48" s="1"/>
  <c r="AJ48" s="1"/>
  <c r="H45"/>
  <c r="I45" s="1"/>
  <c r="H42"/>
  <c r="I39"/>
  <c r="J39" s="1"/>
  <c r="K39" s="1"/>
  <c r="L39" s="1"/>
  <c r="M39" s="1"/>
  <c r="H64"/>
  <c r="I64" s="1"/>
  <c r="J64" s="1"/>
  <c r="K64" s="1"/>
  <c r="L64" s="1"/>
  <c r="M64" s="1"/>
  <c r="N64" s="1"/>
  <c r="O64" s="1"/>
  <c r="P64" s="1"/>
  <c r="Q64" s="1"/>
  <c r="R64" s="1"/>
  <c r="S64" s="1"/>
  <c r="T64" s="1"/>
  <c r="U64" s="1"/>
  <c r="V64" s="1"/>
  <c r="W64" s="1"/>
  <c r="X64" s="1"/>
  <c r="Y64" s="1"/>
  <c r="Z64" s="1"/>
  <c r="AA64" s="1"/>
  <c r="AB64" s="1"/>
  <c r="AC64" s="1"/>
  <c r="AD64" s="1"/>
  <c r="AE64" s="1"/>
  <c r="AF64" s="1"/>
  <c r="AG64" s="1"/>
  <c r="AH64" s="1"/>
  <c r="AI64" s="1"/>
  <c r="AJ64" s="1"/>
  <c r="I62"/>
  <c r="J62" s="1"/>
  <c r="K62" s="1"/>
  <c r="L62" s="1"/>
  <c r="M62" s="1"/>
  <c r="N62" s="1"/>
  <c r="O62" s="1"/>
  <c r="P62" s="1"/>
  <c r="Q62" s="1"/>
  <c r="R62" s="1"/>
  <c r="S62" s="1"/>
  <c r="T62" s="1"/>
  <c r="U62" s="1"/>
  <c r="V62" s="1"/>
  <c r="W62" s="1"/>
  <c r="X62" s="1"/>
  <c r="Y62" s="1"/>
  <c r="Z62" s="1"/>
  <c r="AA62" s="1"/>
  <c r="AB62" s="1"/>
  <c r="AC62" s="1"/>
  <c r="AD62" s="1"/>
  <c r="AE62" s="1"/>
  <c r="AF62" s="1"/>
  <c r="AG62" s="1"/>
  <c r="AH62" s="1"/>
  <c r="AI62" s="1"/>
  <c r="AJ62" s="1"/>
  <c r="L59"/>
  <c r="M59" s="1"/>
  <c r="N59" s="1"/>
  <c r="O59" s="1"/>
  <c r="P59" s="1"/>
  <c r="Q59" s="1"/>
  <c r="R59" s="1"/>
  <c r="S59" s="1"/>
  <c r="T59" s="1"/>
  <c r="U59" s="1"/>
  <c r="V59" s="1"/>
  <c r="W59" s="1"/>
  <c r="X59" s="1"/>
  <c r="Y59" s="1"/>
  <c r="Z59" s="1"/>
  <c r="AA59" s="1"/>
  <c r="AB59" s="1"/>
  <c r="AC59" s="1"/>
  <c r="AD59" s="1"/>
  <c r="AE59" s="1"/>
  <c r="AF59" s="1"/>
  <c r="AG59" s="1"/>
  <c r="AH59" s="1"/>
  <c r="AI59" s="1"/>
  <c r="AJ59" s="1"/>
  <c r="H55"/>
  <c r="I55" s="1"/>
  <c r="H49"/>
  <c r="I49" s="1"/>
  <c r="J49" s="1"/>
  <c r="K49" s="1"/>
  <c r="H47"/>
  <c r="I47" s="1"/>
  <c r="J47" s="1"/>
  <c r="K47" s="1"/>
  <c r="L47" s="1"/>
  <c r="M47" s="1"/>
  <c r="N47" s="1"/>
  <c r="O47" s="1"/>
  <c r="P47" s="1"/>
  <c r="Q47" s="1"/>
  <c r="R47" s="1"/>
  <c r="S47" s="1"/>
  <c r="T47" s="1"/>
  <c r="U47" s="1"/>
  <c r="V47" s="1"/>
  <c r="W47" s="1"/>
  <c r="X47" s="1"/>
  <c r="Y47" s="1"/>
  <c r="Z47" s="1"/>
  <c r="AA47" s="1"/>
  <c r="AB47" s="1"/>
  <c r="AC47" s="1"/>
  <c r="AD47" s="1"/>
  <c r="AE47" s="1"/>
  <c r="AF47" s="1"/>
  <c r="AG47" s="1"/>
  <c r="AH47" s="1"/>
  <c r="AI47" s="1"/>
  <c r="AJ47" s="1"/>
  <c r="J45"/>
  <c r="K45" s="1"/>
  <c r="L45" s="1"/>
  <c r="M45" s="1"/>
  <c r="N45" s="1"/>
  <c r="O45" s="1"/>
  <c r="P45" s="1"/>
  <c r="Q45" s="1"/>
  <c r="R45" s="1"/>
  <c r="S45" s="1"/>
  <c r="T45" s="1"/>
  <c r="U45" s="1"/>
  <c r="V45" s="1"/>
  <c r="W45" s="1"/>
  <c r="X45" s="1"/>
  <c r="Y45" s="1"/>
  <c r="Z45" s="1"/>
  <c r="AA45" s="1"/>
  <c r="AB45" s="1"/>
  <c r="AC45" s="1"/>
  <c r="AD45" s="1"/>
  <c r="AE45" s="1"/>
  <c r="AF45" s="1"/>
  <c r="AG45" s="1"/>
  <c r="AH45" s="1"/>
  <c r="AI45" s="1"/>
  <c r="AJ45" s="1"/>
  <c r="I42"/>
  <c r="J42" s="1"/>
  <c r="K42" s="1"/>
  <c r="L42" s="1"/>
  <c r="M42" s="1"/>
  <c r="N42" s="1"/>
  <c r="O42" s="1"/>
  <c r="P42" s="1"/>
  <c r="Q42" s="1"/>
  <c r="R42" s="1"/>
  <c r="S42" s="1"/>
  <c r="T42" s="1"/>
  <c r="U42" s="1"/>
  <c r="V42" s="1"/>
  <c r="W42" s="1"/>
  <c r="X42" s="1"/>
  <c r="Y42" s="1"/>
  <c r="Z42" s="1"/>
  <c r="AA42" s="1"/>
  <c r="AB42" s="1"/>
  <c r="AC42" s="1"/>
  <c r="AD42" s="1"/>
  <c r="AE42" s="1"/>
  <c r="AF42" s="1"/>
  <c r="AG42" s="1"/>
  <c r="AH42" s="1"/>
  <c r="AI42" s="1"/>
  <c r="AJ42" s="1"/>
  <c r="N39"/>
  <c r="O39" s="1"/>
  <c r="P39" s="1"/>
  <c r="Q39" s="1"/>
  <c r="R39" s="1"/>
  <c r="S39" s="1"/>
  <c r="T39" s="1"/>
  <c r="U39" s="1"/>
  <c r="V39" s="1"/>
  <c r="W39" s="1"/>
  <c r="X39" s="1"/>
  <c r="Y39" s="1"/>
  <c r="Z39" s="1"/>
  <c r="AA39" s="1"/>
  <c r="AB39" s="1"/>
  <c r="AC39" s="1"/>
  <c r="AD39" s="1"/>
  <c r="AE39" s="1"/>
  <c r="AF39" s="1"/>
  <c r="AG39" s="1"/>
  <c r="AH39" s="1"/>
  <c r="AI39" s="1"/>
  <c r="AJ39" s="1"/>
  <c r="H36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X36" s="1"/>
  <c r="Y36" s="1"/>
  <c r="Z36" s="1"/>
  <c r="AA36" s="1"/>
  <c r="AB36" s="1"/>
  <c r="AC36" s="1"/>
  <c r="AD36" s="1"/>
  <c r="AE36" s="1"/>
  <c r="AF36" s="1"/>
  <c r="AG36" s="1"/>
  <c r="AH36" s="1"/>
  <c r="AI36" s="1"/>
  <c r="AJ36" s="1"/>
  <c r="H60"/>
  <c r="I60" s="1"/>
  <c r="J60" s="1"/>
  <c r="K60" s="1"/>
  <c r="L60" s="1"/>
  <c r="M60" s="1"/>
  <c r="N60" s="1"/>
  <c r="O60" s="1"/>
  <c r="P60" s="1"/>
  <c r="Q60" s="1"/>
  <c r="R60" s="1"/>
  <c r="S60" s="1"/>
  <c r="T60" s="1"/>
  <c r="U60" s="1"/>
  <c r="V60" s="1"/>
  <c r="W60" s="1"/>
  <c r="X60" s="1"/>
  <c r="Y60" s="1"/>
  <c r="Z60" s="1"/>
  <c r="AA60" s="1"/>
  <c r="AB60" s="1"/>
  <c r="AC60" s="1"/>
  <c r="AD60" s="1"/>
  <c r="AE60" s="1"/>
  <c r="AF60" s="1"/>
  <c r="AG60" s="1"/>
  <c r="AH60" s="1"/>
  <c r="AI60" s="1"/>
  <c r="AJ60" s="1"/>
  <c r="H57"/>
  <c r="I57" s="1"/>
  <c r="J57" s="1"/>
  <c r="K57" s="1"/>
  <c r="L57" s="1"/>
  <c r="M57" s="1"/>
  <c r="N57" s="1"/>
  <c r="O57" s="1"/>
  <c r="P57" s="1"/>
  <c r="Q57" s="1"/>
  <c r="R57" s="1"/>
  <c r="S57" s="1"/>
  <c r="T57" s="1"/>
  <c r="U57" s="1"/>
  <c r="V57" s="1"/>
  <c r="W57" s="1"/>
  <c r="X57" s="1"/>
  <c r="Y57" s="1"/>
  <c r="Z57" s="1"/>
  <c r="AA57" s="1"/>
  <c r="AB57" s="1"/>
  <c r="AC57" s="1"/>
  <c r="AD57" s="1"/>
  <c r="AE57" s="1"/>
  <c r="AF57" s="1"/>
  <c r="AG57" s="1"/>
  <c r="AH57" s="1"/>
  <c r="AI57" s="1"/>
  <c r="AJ57" s="1"/>
  <c r="J55"/>
  <c r="K55" s="1"/>
  <c r="L55" s="1"/>
  <c r="M55" s="1"/>
  <c r="N55" s="1"/>
  <c r="O55" s="1"/>
  <c r="P55" s="1"/>
  <c r="Q55" s="1"/>
  <c r="R55" s="1"/>
  <c r="S55" s="1"/>
  <c r="T55" s="1"/>
  <c r="U55" s="1"/>
  <c r="V55" s="1"/>
  <c r="W55" s="1"/>
  <c r="X55" s="1"/>
  <c r="Y55" s="1"/>
  <c r="Z55" s="1"/>
  <c r="AA55" s="1"/>
  <c r="AB55" s="1"/>
  <c r="AC55" s="1"/>
  <c r="AD55" s="1"/>
  <c r="AE55" s="1"/>
  <c r="AF55" s="1"/>
  <c r="AG55" s="1"/>
  <c r="AH55" s="1"/>
  <c r="AI55" s="1"/>
  <c r="AJ55" s="1"/>
  <c r="L49"/>
  <c r="M49" s="1"/>
  <c r="N49" s="1"/>
  <c r="O49" s="1"/>
  <c r="P49" s="1"/>
  <c r="Q49" s="1"/>
  <c r="R49" s="1"/>
  <c r="S49" s="1"/>
  <c r="T49" s="1"/>
  <c r="U49" s="1"/>
  <c r="V49" s="1"/>
  <c r="W49" s="1"/>
  <c r="X49" s="1"/>
  <c r="Y49" s="1"/>
  <c r="Z49" s="1"/>
  <c r="AA49" s="1"/>
  <c r="AB49" s="1"/>
  <c r="AC49" s="1"/>
  <c r="AD49" s="1"/>
  <c r="AE49" s="1"/>
  <c r="AF49" s="1"/>
  <c r="AG49" s="1"/>
  <c r="AH49" s="1"/>
  <c r="AI49" s="1"/>
  <c r="AJ49" s="1"/>
  <c r="H43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AB43" s="1"/>
  <c r="AC43" s="1"/>
  <c r="AD43" s="1"/>
  <c r="AE43" s="1"/>
  <c r="AF43" s="1"/>
  <c r="AG43" s="1"/>
  <c r="AH43" s="1"/>
  <c r="AI43" s="1"/>
  <c r="AJ43" s="1"/>
  <c r="AM35"/>
  <c r="AN35" s="1"/>
  <c r="AO35" s="1"/>
  <c r="AP35" s="1"/>
  <c r="AQ35" s="1"/>
  <c r="AR35" s="1"/>
  <c r="AS35" s="1"/>
  <c r="AT35" s="1"/>
  <c r="AU35" s="1"/>
  <c r="AV35" s="1"/>
  <c r="AW35" s="1"/>
  <c r="AX35" s="1"/>
  <c r="AY35" s="1"/>
  <c r="AZ35" s="1"/>
  <c r="BA35" s="1"/>
  <c r="BB35" s="1"/>
  <c r="BC35" s="1"/>
  <c r="BD35" s="1"/>
  <c r="BE35" s="1"/>
  <c r="BF35" s="1"/>
  <c r="BG35" s="1"/>
  <c r="BH35" s="1"/>
  <c r="BI35" s="1"/>
  <c r="BJ35" s="1"/>
  <c r="BK35" s="1"/>
  <c r="BL35" s="1"/>
  <c r="BM35" s="1"/>
  <c r="BN35" s="1"/>
  <c r="BO35" s="1"/>
  <c r="BS43"/>
  <c r="CY59"/>
  <c r="BS91" s="1"/>
  <c r="BS51"/>
  <c r="AM49"/>
  <c r="AN49" s="1"/>
  <c r="AO49" s="1"/>
  <c r="AP49" s="1"/>
  <c r="AQ49" s="1"/>
  <c r="AR49" s="1"/>
  <c r="AN51"/>
  <c r="BS64"/>
  <c r="AM50"/>
  <c r="AN50" s="1"/>
  <c r="AO50" s="1"/>
  <c r="CY43"/>
  <c r="BS75" s="1"/>
  <c r="BS41"/>
  <c r="CY50"/>
  <c r="BS82" s="1"/>
  <c r="AN43"/>
  <c r="AO43" s="1"/>
  <c r="AP43" s="1"/>
  <c r="AQ43" s="1"/>
  <c r="AR43" s="1"/>
  <c r="AS43" s="1"/>
  <c r="AT43" s="1"/>
  <c r="AU43" s="1"/>
  <c r="AV43" s="1"/>
  <c r="BS56"/>
  <c r="AM41"/>
  <c r="AN41" s="1"/>
  <c r="AO41" s="1"/>
  <c r="AP41" s="1"/>
  <c r="BS57"/>
  <c r="AM58"/>
  <c r="AN58" s="1"/>
  <c r="AO58" s="1"/>
  <c r="AP58" s="1"/>
  <c r="AQ58" s="1"/>
  <c r="AR58" s="1"/>
  <c r="AS58" s="1"/>
  <c r="AT58" s="1"/>
  <c r="AU58" s="1"/>
  <c r="AV58" s="1"/>
  <c r="AW58" s="1"/>
  <c r="AX58" s="1"/>
  <c r="AY58" s="1"/>
  <c r="AZ58" s="1"/>
  <c r="BA58" s="1"/>
  <c r="BB58" s="1"/>
  <c r="BC58" s="1"/>
  <c r="BD58" s="1"/>
  <c r="BE58" s="1"/>
  <c r="BF58" s="1"/>
  <c r="BG58" s="1"/>
  <c r="BH58" s="1"/>
  <c r="BI58" s="1"/>
  <c r="BJ58" s="1"/>
  <c r="BK58" s="1"/>
  <c r="BL58" s="1"/>
  <c r="BM58" s="1"/>
  <c r="BN58" s="1"/>
  <c r="BO58" s="1"/>
  <c r="AM42"/>
  <c r="AN42" s="1"/>
  <c r="AO42" s="1"/>
  <c r="BS58"/>
  <c r="BS48"/>
  <c r="BS38"/>
  <c r="AM59"/>
  <c r="AN59" s="1"/>
  <c r="AO59" s="1"/>
  <c r="AP59" s="1"/>
  <c r="AQ59" s="1"/>
  <c r="AR59" s="1"/>
  <c r="AS59" s="1"/>
  <c r="AT59" s="1"/>
  <c r="AU59" s="1"/>
  <c r="AV59" s="1"/>
  <c r="AW59" s="1"/>
  <c r="AX59" s="1"/>
  <c r="AY59" s="1"/>
  <c r="AZ59" s="1"/>
  <c r="BA59" s="1"/>
  <c r="BB59" s="1"/>
  <c r="BC59" s="1"/>
  <c r="BD59" s="1"/>
  <c r="BE59" s="1"/>
  <c r="BF59" s="1"/>
  <c r="BG59" s="1"/>
  <c r="BH59" s="1"/>
  <c r="BI59" s="1"/>
  <c r="BJ59" s="1"/>
  <c r="BK59" s="1"/>
  <c r="BL59" s="1"/>
  <c r="BM59" s="1"/>
  <c r="BN59" s="1"/>
  <c r="BO59" s="1"/>
  <c r="BS49"/>
  <c r="BS39"/>
  <c r="CY64"/>
  <c r="BS96" s="1"/>
  <c r="CY48"/>
  <c r="BS80" s="1"/>
  <c r="BS62"/>
  <c r="BS40"/>
  <c r="CY35"/>
  <c r="BS67" s="1"/>
  <c r="BS55"/>
  <c r="CY56"/>
  <c r="BS88" s="1"/>
  <c r="CY40"/>
  <c r="BS72" s="1"/>
  <c r="BS46"/>
  <c r="CY57"/>
  <c r="BS89" s="1"/>
  <c r="BS54"/>
  <c r="BS47"/>
  <c r="EB54"/>
  <c r="CV86" s="1"/>
  <c r="EB38"/>
  <c r="CV70" s="1"/>
  <c r="EB40"/>
  <c r="CV72" s="1"/>
  <c r="EB60"/>
  <c r="CV92" s="1"/>
  <c r="EB52"/>
  <c r="CV84" s="1"/>
  <c r="EB44"/>
  <c r="CV76" s="1"/>
  <c r="EB36"/>
  <c r="CV68" s="1"/>
  <c r="EB61"/>
  <c r="CV93" s="1"/>
  <c r="BP93" s="1"/>
  <c r="BP92" s="1"/>
  <c r="BP91" s="1"/>
  <c r="BP90" s="1"/>
  <c r="BP89" s="1"/>
  <c r="BP88" s="1"/>
  <c r="BP87" s="1"/>
  <c r="BP86" s="1"/>
  <c r="BP85" s="1"/>
  <c r="BP84" s="1"/>
  <c r="BP83" s="1"/>
  <c r="BP82" s="1"/>
  <c r="BP81" s="1"/>
  <c r="BP80" s="1"/>
  <c r="BP79" s="1"/>
  <c r="BP78" s="1"/>
  <c r="BP77" s="1"/>
  <c r="BP76" s="1"/>
  <c r="BP75" s="1"/>
  <c r="BP74" s="1"/>
  <c r="BP73" s="1"/>
  <c r="BP72" s="1"/>
  <c r="BP71" s="1"/>
  <c r="BP70" s="1"/>
  <c r="BP69" s="1"/>
  <c r="BP68" s="1"/>
  <c r="EB53"/>
  <c r="CV85" s="1"/>
  <c r="EB45"/>
  <c r="CV77" s="1"/>
  <c r="EB37"/>
  <c r="CV69" s="1"/>
  <c r="AM94"/>
  <c r="AM60"/>
  <c r="AN60" s="1"/>
  <c r="AO60" s="1"/>
  <c r="AP60" s="1"/>
  <c r="AQ60" s="1"/>
  <c r="AR60" s="1"/>
  <c r="AS60" s="1"/>
  <c r="AT60" s="1"/>
  <c r="AU60" s="1"/>
  <c r="AV60" s="1"/>
  <c r="AW60" s="1"/>
  <c r="AX60" s="1"/>
  <c r="AY60" s="1"/>
  <c r="AZ60" s="1"/>
  <c r="BA60" s="1"/>
  <c r="BB60" s="1"/>
  <c r="BC60" s="1"/>
  <c r="BD60" s="1"/>
  <c r="BE60" s="1"/>
  <c r="BF60" s="1"/>
  <c r="BG60" s="1"/>
  <c r="BH60" s="1"/>
  <c r="BI60" s="1"/>
  <c r="BJ60" s="1"/>
  <c r="BK60" s="1"/>
  <c r="BL60" s="1"/>
  <c r="BM60" s="1"/>
  <c r="BN60" s="1"/>
  <c r="BO60" s="1"/>
  <c r="AM52"/>
  <c r="AN52" s="1"/>
  <c r="AO52" s="1"/>
  <c r="AM44"/>
  <c r="AN44" s="1"/>
  <c r="AO44" s="1"/>
  <c r="AP44" s="1"/>
  <c r="AQ44" s="1"/>
  <c r="AR44" s="1"/>
  <c r="AS44" s="1"/>
  <c r="AT44" s="1"/>
  <c r="AU44" s="1"/>
  <c r="AV44" s="1"/>
  <c r="AW44" s="1"/>
  <c r="AX44" s="1"/>
  <c r="AY44" s="1"/>
  <c r="AZ44" s="1"/>
  <c r="BA44" s="1"/>
  <c r="BB44" s="1"/>
  <c r="BC44" s="1"/>
  <c r="BD44" s="1"/>
  <c r="BE44" s="1"/>
  <c r="BF44" s="1"/>
  <c r="BG44" s="1"/>
  <c r="BH44" s="1"/>
  <c r="BI44" s="1"/>
  <c r="BJ44" s="1"/>
  <c r="BK44" s="1"/>
  <c r="BL44" s="1"/>
  <c r="BM44" s="1"/>
  <c r="BN44" s="1"/>
  <c r="BO44" s="1"/>
  <c r="AM36"/>
  <c r="AN36" s="1"/>
  <c r="AN64"/>
  <c r="AN56"/>
  <c r="AN48"/>
  <c r="AO48" s="1"/>
  <c r="AP48" s="1"/>
  <c r="AQ48" s="1"/>
  <c r="AR48" s="1"/>
  <c r="AS48" s="1"/>
  <c r="AT48" s="1"/>
  <c r="AU48" s="1"/>
  <c r="AV48" s="1"/>
  <c r="AW48" s="1"/>
  <c r="AX48" s="1"/>
  <c r="AY48" s="1"/>
  <c r="AZ48" s="1"/>
  <c r="BA48" s="1"/>
  <c r="BB48" s="1"/>
  <c r="BC48" s="1"/>
  <c r="BD48" s="1"/>
  <c r="BE48" s="1"/>
  <c r="BF48" s="1"/>
  <c r="BG48" s="1"/>
  <c r="BH48" s="1"/>
  <c r="BI48" s="1"/>
  <c r="BJ48" s="1"/>
  <c r="BK48" s="1"/>
  <c r="BL48" s="1"/>
  <c r="BM48" s="1"/>
  <c r="BN48" s="1"/>
  <c r="BO48" s="1"/>
  <c r="AN40"/>
  <c r="AO40" s="1"/>
  <c r="AP40" s="1"/>
  <c r="AQ40" s="1"/>
  <c r="AR40" s="1"/>
  <c r="AS40" s="1"/>
  <c r="AT40" s="1"/>
  <c r="AU40" s="1"/>
  <c r="AV40" s="1"/>
  <c r="AW40" s="1"/>
  <c r="AX40" s="1"/>
  <c r="AY40" s="1"/>
  <c r="AZ40" s="1"/>
  <c r="BA40" s="1"/>
  <c r="BB40" s="1"/>
  <c r="BC40" s="1"/>
  <c r="BD40" s="1"/>
  <c r="BE40" s="1"/>
  <c r="BF40" s="1"/>
  <c r="BG40" s="1"/>
  <c r="BH40" s="1"/>
  <c r="BI40" s="1"/>
  <c r="BJ40" s="1"/>
  <c r="BK40" s="1"/>
  <c r="BL40" s="1"/>
  <c r="BM40" s="1"/>
  <c r="BN40" s="1"/>
  <c r="BO40" s="1"/>
  <c r="AM61"/>
  <c r="AM53"/>
  <c r="AN53" s="1"/>
  <c r="AM45"/>
  <c r="AN45" s="1"/>
  <c r="AO45" s="1"/>
  <c r="AP45" s="1"/>
  <c r="AM37"/>
  <c r="AN37" s="1"/>
  <c r="AO37" s="1"/>
  <c r="AP37" s="1"/>
  <c r="AQ37" s="1"/>
  <c r="AR37" s="1"/>
  <c r="AS37" s="1"/>
  <c r="AT37" s="1"/>
  <c r="AU37" s="1"/>
  <c r="AV37" s="1"/>
  <c r="AW37" s="1"/>
  <c r="AX37" s="1"/>
  <c r="AY37" s="1"/>
  <c r="AZ37" s="1"/>
  <c r="BA37" s="1"/>
  <c r="BB37" s="1"/>
  <c r="BC37" s="1"/>
  <c r="BD37" s="1"/>
  <c r="BE37" s="1"/>
  <c r="BF37" s="1"/>
  <c r="BG37" s="1"/>
  <c r="BH37" s="1"/>
  <c r="BI37" s="1"/>
  <c r="BJ37" s="1"/>
  <c r="BK37" s="1"/>
  <c r="BL37" s="1"/>
  <c r="BM37" s="1"/>
  <c r="BN37" s="1"/>
  <c r="BO37" s="1"/>
  <c r="CY61"/>
  <c r="BS93" s="1"/>
  <c r="CY53"/>
  <c r="BS85" s="1"/>
  <c r="CY45"/>
  <c r="BS77" s="1"/>
  <c r="CY37"/>
  <c r="BS69" s="1"/>
  <c r="AM62"/>
  <c r="AN62" s="1"/>
  <c r="AO62" s="1"/>
  <c r="AM54"/>
  <c r="AN54" s="1"/>
  <c r="AO54" s="1"/>
  <c r="AP54" s="1"/>
  <c r="AQ54" s="1"/>
  <c r="AR54" s="1"/>
  <c r="AM46"/>
  <c r="AN46" s="1"/>
  <c r="AO46" s="1"/>
  <c r="AM38"/>
  <c r="AN38" s="1"/>
  <c r="BS60"/>
  <c r="BS52"/>
  <c r="BS44"/>
  <c r="BS36"/>
  <c r="AN61"/>
  <c r="AO61" s="1"/>
  <c r="AP61" s="1"/>
  <c r="AQ61" s="1"/>
  <c r="AR61" s="1"/>
  <c r="AS61" s="1"/>
  <c r="AT61" s="1"/>
  <c r="AU61" s="1"/>
  <c r="AV61" s="1"/>
  <c r="AW61" s="1"/>
  <c r="AX61" s="1"/>
  <c r="AY61" s="1"/>
  <c r="AZ61" s="1"/>
  <c r="BA61" s="1"/>
  <c r="BB61" s="1"/>
  <c r="BC61" s="1"/>
  <c r="BD61" s="1"/>
  <c r="BE61" s="1"/>
  <c r="BF61" s="1"/>
  <c r="BG61" s="1"/>
  <c r="BH61" s="1"/>
  <c r="BI61" s="1"/>
  <c r="BJ61" s="1"/>
  <c r="BK61" s="1"/>
  <c r="BL61" s="1"/>
  <c r="BM61" s="1"/>
  <c r="BN61" s="1"/>
  <c r="BO61" s="1"/>
  <c r="AN57"/>
  <c r="AO57" s="1"/>
  <c r="AP57" s="1"/>
  <c r="AQ57" s="1"/>
  <c r="AR57" s="1"/>
  <c r="AS57" s="1"/>
  <c r="AT57" s="1"/>
  <c r="AU57" s="1"/>
  <c r="AV57" s="1"/>
  <c r="AW57" s="1"/>
  <c r="AX57" s="1"/>
  <c r="AY57" s="1"/>
  <c r="AZ57" s="1"/>
  <c r="BA57" s="1"/>
  <c r="BB57" s="1"/>
  <c r="BC57" s="1"/>
  <c r="BD57" s="1"/>
  <c r="BE57" s="1"/>
  <c r="BF57" s="1"/>
  <c r="BG57" s="1"/>
  <c r="BH57" s="1"/>
  <c r="BI57" s="1"/>
  <c r="BJ57" s="1"/>
  <c r="BK57" s="1"/>
  <c r="BL57" s="1"/>
  <c r="BM57" s="1"/>
  <c r="BN57" s="1"/>
  <c r="BO57" s="1"/>
  <c r="AM63"/>
  <c r="AN63" s="1"/>
  <c r="AO63" s="1"/>
  <c r="AP63" s="1"/>
  <c r="AQ63" s="1"/>
  <c r="AR63" s="1"/>
  <c r="AS63" s="1"/>
  <c r="AT63" s="1"/>
  <c r="AU63" s="1"/>
  <c r="AV63" s="1"/>
  <c r="AW63" s="1"/>
  <c r="AX63" s="1"/>
  <c r="AY63" s="1"/>
  <c r="AZ63" s="1"/>
  <c r="BA63" s="1"/>
  <c r="BB63" s="1"/>
  <c r="BC63" s="1"/>
  <c r="BD63" s="1"/>
  <c r="BE63" s="1"/>
  <c r="BF63" s="1"/>
  <c r="BG63" s="1"/>
  <c r="BH63" s="1"/>
  <c r="BI63" s="1"/>
  <c r="BJ63" s="1"/>
  <c r="BK63" s="1"/>
  <c r="BL63" s="1"/>
  <c r="BM63" s="1"/>
  <c r="BN63" s="1"/>
  <c r="BO63" s="1"/>
  <c r="AM55"/>
  <c r="AN55" s="1"/>
  <c r="AM47"/>
  <c r="AN47" s="1"/>
  <c r="AM39"/>
  <c r="AN39" s="1"/>
  <c r="AO39" s="1"/>
  <c r="AP39" s="1"/>
  <c r="AQ39" s="1"/>
  <c r="AR39" s="1"/>
  <c r="AS39" s="1"/>
  <c r="AT39" s="1"/>
  <c r="AU39" s="1"/>
  <c r="AV39" s="1"/>
  <c r="AO51"/>
  <c r="AP51" s="1"/>
  <c r="AW43" l="1"/>
  <c r="AX43" s="1"/>
  <c r="AY43" s="1"/>
  <c r="AZ43" s="1"/>
  <c r="BA43" s="1"/>
  <c r="BB43" s="1"/>
  <c r="BC43" s="1"/>
  <c r="BD43" s="1"/>
  <c r="BE43" s="1"/>
  <c r="BF43" s="1"/>
  <c r="BG43" s="1"/>
  <c r="BH43" s="1"/>
  <c r="BI43" s="1"/>
  <c r="BJ43" s="1"/>
  <c r="BK43" s="1"/>
  <c r="BL43" s="1"/>
  <c r="BM43" s="1"/>
  <c r="BN43" s="1"/>
  <c r="BO43" s="1"/>
  <c r="EA43" s="1"/>
  <c r="AO55"/>
  <c r="AP55" s="1"/>
  <c r="AQ55" s="1"/>
  <c r="AR55" s="1"/>
  <c r="AS55" s="1"/>
  <c r="AT55" s="1"/>
  <c r="AU55" s="1"/>
  <c r="AV55" s="1"/>
  <c r="AW55" s="1"/>
  <c r="AX55" s="1"/>
  <c r="AY55" s="1"/>
  <c r="AZ55" s="1"/>
  <c r="BA55" s="1"/>
  <c r="BB55" s="1"/>
  <c r="BC55" s="1"/>
  <c r="BD55" s="1"/>
  <c r="BE55" s="1"/>
  <c r="BF55" s="1"/>
  <c r="BG55" s="1"/>
  <c r="BH55" s="1"/>
  <c r="BI55" s="1"/>
  <c r="BJ55" s="1"/>
  <c r="BK55" s="1"/>
  <c r="BL55" s="1"/>
  <c r="BM55" s="1"/>
  <c r="BN55" s="1"/>
  <c r="BO55" s="1"/>
  <c r="EA55" s="1"/>
  <c r="AO38"/>
  <c r="AP38" s="1"/>
  <c r="AQ38" s="1"/>
  <c r="AR38" s="1"/>
  <c r="AS38" s="1"/>
  <c r="AT38" s="1"/>
  <c r="AU38" s="1"/>
  <c r="AV38" s="1"/>
  <c r="AW38" s="1"/>
  <c r="AX38" s="1"/>
  <c r="AY38" s="1"/>
  <c r="AZ38" s="1"/>
  <c r="BA38" s="1"/>
  <c r="BB38" s="1"/>
  <c r="BC38" s="1"/>
  <c r="BD38" s="1"/>
  <c r="BE38" s="1"/>
  <c r="BF38" s="1"/>
  <c r="BG38" s="1"/>
  <c r="BH38" s="1"/>
  <c r="BI38" s="1"/>
  <c r="BJ38" s="1"/>
  <c r="BK38" s="1"/>
  <c r="BL38" s="1"/>
  <c r="BM38" s="1"/>
  <c r="BN38" s="1"/>
  <c r="BO38" s="1"/>
  <c r="EA38" s="1"/>
  <c r="AO36"/>
  <c r="AP36" s="1"/>
  <c r="AQ36" s="1"/>
  <c r="AR36" s="1"/>
  <c r="AS36" s="1"/>
  <c r="AT36" s="1"/>
  <c r="AU36" s="1"/>
  <c r="AV36" s="1"/>
  <c r="AW36" s="1"/>
  <c r="AX36" s="1"/>
  <c r="AY36" s="1"/>
  <c r="AZ36" s="1"/>
  <c r="BA36" s="1"/>
  <c r="BB36" s="1"/>
  <c r="BC36" s="1"/>
  <c r="BD36" s="1"/>
  <c r="BE36" s="1"/>
  <c r="BF36" s="1"/>
  <c r="BG36" s="1"/>
  <c r="BH36" s="1"/>
  <c r="BI36" s="1"/>
  <c r="BJ36" s="1"/>
  <c r="BK36" s="1"/>
  <c r="BL36" s="1"/>
  <c r="BM36" s="1"/>
  <c r="BN36" s="1"/>
  <c r="BO36" s="1"/>
  <c r="EA36" s="1"/>
  <c r="AP42"/>
  <c r="AQ42" s="1"/>
  <c r="AR42" s="1"/>
  <c r="AS42" s="1"/>
  <c r="AT42" s="1"/>
  <c r="AU42" s="1"/>
  <c r="AV42" s="1"/>
  <c r="AW42" s="1"/>
  <c r="AX42" s="1"/>
  <c r="AY42" s="1"/>
  <c r="AZ42" s="1"/>
  <c r="BA42" s="1"/>
  <c r="BB42" s="1"/>
  <c r="BC42" s="1"/>
  <c r="BD42" s="1"/>
  <c r="BE42" s="1"/>
  <c r="BF42" s="1"/>
  <c r="BG42" s="1"/>
  <c r="BH42" s="1"/>
  <c r="BI42" s="1"/>
  <c r="BJ42" s="1"/>
  <c r="BK42" s="1"/>
  <c r="BL42" s="1"/>
  <c r="BM42" s="1"/>
  <c r="BN42" s="1"/>
  <c r="BO42" s="1"/>
  <c r="EA42" s="1"/>
  <c r="AO47"/>
  <c r="AP47" s="1"/>
  <c r="AQ47" s="1"/>
  <c r="AR47" s="1"/>
  <c r="AS47" s="1"/>
  <c r="AT47" s="1"/>
  <c r="AU47" s="1"/>
  <c r="AV47" s="1"/>
  <c r="AW47" s="1"/>
  <c r="AX47" s="1"/>
  <c r="AY47" s="1"/>
  <c r="AZ47" s="1"/>
  <c r="BA47" s="1"/>
  <c r="BB47" s="1"/>
  <c r="BC47" s="1"/>
  <c r="BD47" s="1"/>
  <c r="BE47" s="1"/>
  <c r="BF47" s="1"/>
  <c r="BG47" s="1"/>
  <c r="BH47" s="1"/>
  <c r="BI47" s="1"/>
  <c r="BJ47" s="1"/>
  <c r="BK47" s="1"/>
  <c r="BL47" s="1"/>
  <c r="BM47" s="1"/>
  <c r="BN47" s="1"/>
  <c r="BO47" s="1"/>
  <c r="BP47" s="1"/>
  <c r="AO64"/>
  <c r="AP64" s="1"/>
  <c r="AQ64" s="1"/>
  <c r="AR64" s="1"/>
  <c r="AS64" s="1"/>
  <c r="AT64" s="1"/>
  <c r="AU64" s="1"/>
  <c r="AV64" s="1"/>
  <c r="AW64" s="1"/>
  <c r="AX64" s="1"/>
  <c r="AY64" s="1"/>
  <c r="AZ64" s="1"/>
  <c r="BA64" s="1"/>
  <c r="BB64" s="1"/>
  <c r="BC64" s="1"/>
  <c r="BD64" s="1"/>
  <c r="BE64" s="1"/>
  <c r="BF64" s="1"/>
  <c r="BG64" s="1"/>
  <c r="BH64" s="1"/>
  <c r="BI64" s="1"/>
  <c r="BJ64" s="1"/>
  <c r="BK64" s="1"/>
  <c r="BL64" s="1"/>
  <c r="BM64" s="1"/>
  <c r="BN64" s="1"/>
  <c r="BO64" s="1"/>
  <c r="BP64" s="1"/>
  <c r="AQ41"/>
  <c r="AR41" s="1"/>
  <c r="AS41" s="1"/>
  <c r="AT41" s="1"/>
  <c r="AU41" s="1"/>
  <c r="AV41" s="1"/>
  <c r="AW41" s="1"/>
  <c r="AX41" s="1"/>
  <c r="AY41" s="1"/>
  <c r="AZ41" s="1"/>
  <c r="BA41" s="1"/>
  <c r="BB41" s="1"/>
  <c r="BC41" s="1"/>
  <c r="BD41" s="1"/>
  <c r="BE41" s="1"/>
  <c r="BF41" s="1"/>
  <c r="BG41" s="1"/>
  <c r="BH41" s="1"/>
  <c r="BI41" s="1"/>
  <c r="BJ41" s="1"/>
  <c r="BK41" s="1"/>
  <c r="BL41" s="1"/>
  <c r="BM41" s="1"/>
  <c r="BN41" s="1"/>
  <c r="BO41" s="1"/>
  <c r="BP41" s="1"/>
  <c r="AO56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J56" s="1"/>
  <c r="BK56" s="1"/>
  <c r="BL56" s="1"/>
  <c r="BM56" s="1"/>
  <c r="BN56" s="1"/>
  <c r="BO56" s="1"/>
  <c r="BP56" s="1"/>
  <c r="AW39"/>
  <c r="AX39" s="1"/>
  <c r="AY39" s="1"/>
  <c r="AZ39" s="1"/>
  <c r="BA39" s="1"/>
  <c r="BB39" s="1"/>
  <c r="BC39" s="1"/>
  <c r="BD39" s="1"/>
  <c r="BE39" s="1"/>
  <c r="BF39" s="1"/>
  <c r="BG39" s="1"/>
  <c r="BH39" s="1"/>
  <c r="BI39" s="1"/>
  <c r="BJ39" s="1"/>
  <c r="BK39" s="1"/>
  <c r="BL39" s="1"/>
  <c r="BM39" s="1"/>
  <c r="BN39" s="1"/>
  <c r="BO39" s="1"/>
  <c r="BP39" s="1"/>
  <c r="AP62"/>
  <c r="AQ62" s="1"/>
  <c r="AR62" s="1"/>
  <c r="AS62" s="1"/>
  <c r="AT62" s="1"/>
  <c r="AU62" s="1"/>
  <c r="AV62" s="1"/>
  <c r="AW62" s="1"/>
  <c r="AX62" s="1"/>
  <c r="AY62" s="1"/>
  <c r="AZ62" s="1"/>
  <c r="BA62" s="1"/>
  <c r="BB62" s="1"/>
  <c r="BC62" s="1"/>
  <c r="BD62" s="1"/>
  <c r="BE62" s="1"/>
  <c r="BF62" s="1"/>
  <c r="BG62" s="1"/>
  <c r="BH62" s="1"/>
  <c r="BI62" s="1"/>
  <c r="BJ62" s="1"/>
  <c r="BK62" s="1"/>
  <c r="BL62" s="1"/>
  <c r="BM62" s="1"/>
  <c r="BN62" s="1"/>
  <c r="BO62" s="1"/>
  <c r="EA62" s="1"/>
  <c r="AQ51"/>
  <c r="AR51" s="1"/>
  <c r="AS51" s="1"/>
  <c r="AT51" s="1"/>
  <c r="AU51" s="1"/>
  <c r="AV51" s="1"/>
  <c r="AW51" s="1"/>
  <c r="AX51" s="1"/>
  <c r="AY51" s="1"/>
  <c r="AZ51" s="1"/>
  <c r="BA51" s="1"/>
  <c r="BB51" s="1"/>
  <c r="BC51" s="1"/>
  <c r="BD51" s="1"/>
  <c r="BE51" s="1"/>
  <c r="BF51" s="1"/>
  <c r="BG51" s="1"/>
  <c r="BH51" s="1"/>
  <c r="BI51" s="1"/>
  <c r="BJ51" s="1"/>
  <c r="BK51" s="1"/>
  <c r="BL51" s="1"/>
  <c r="BM51" s="1"/>
  <c r="BN51" s="1"/>
  <c r="BO51" s="1"/>
  <c r="EA51" s="1"/>
  <c r="AS54"/>
  <c r="AT54" s="1"/>
  <c r="AU54" s="1"/>
  <c r="AV54" s="1"/>
  <c r="AW54" s="1"/>
  <c r="AX54" s="1"/>
  <c r="AY54" s="1"/>
  <c r="AZ54" s="1"/>
  <c r="BA54" s="1"/>
  <c r="BB54" s="1"/>
  <c r="BC54" s="1"/>
  <c r="BD54" s="1"/>
  <c r="BE54" s="1"/>
  <c r="BF54" s="1"/>
  <c r="BG54" s="1"/>
  <c r="BH54" s="1"/>
  <c r="BI54" s="1"/>
  <c r="BJ54" s="1"/>
  <c r="BK54" s="1"/>
  <c r="BL54" s="1"/>
  <c r="BM54" s="1"/>
  <c r="BN54" s="1"/>
  <c r="BO54" s="1"/>
  <c r="BP54" s="1"/>
  <c r="AO53"/>
  <c r="AP53" s="1"/>
  <c r="AQ53" s="1"/>
  <c r="AR53" s="1"/>
  <c r="AS53" s="1"/>
  <c r="AT53" s="1"/>
  <c r="AU53" s="1"/>
  <c r="AV53" s="1"/>
  <c r="AW53" s="1"/>
  <c r="AX53" s="1"/>
  <c r="AY53" s="1"/>
  <c r="AZ53" s="1"/>
  <c r="BA53" s="1"/>
  <c r="BB53" s="1"/>
  <c r="BC53" s="1"/>
  <c r="BD53" s="1"/>
  <c r="BE53" s="1"/>
  <c r="BF53" s="1"/>
  <c r="BG53" s="1"/>
  <c r="BH53" s="1"/>
  <c r="BI53" s="1"/>
  <c r="BJ53" s="1"/>
  <c r="BK53" s="1"/>
  <c r="BL53" s="1"/>
  <c r="BM53" s="1"/>
  <c r="BN53" s="1"/>
  <c r="BO53" s="1"/>
  <c r="EA53" s="1"/>
  <c r="AP52"/>
  <c r="AQ52" s="1"/>
  <c r="AR52" s="1"/>
  <c r="AS52" s="1"/>
  <c r="AT52" s="1"/>
  <c r="AU52" s="1"/>
  <c r="AV52" s="1"/>
  <c r="AW52" s="1"/>
  <c r="AX52" s="1"/>
  <c r="AY52" s="1"/>
  <c r="AZ52" s="1"/>
  <c r="BA52" s="1"/>
  <c r="BB52" s="1"/>
  <c r="BC52" s="1"/>
  <c r="BD52" s="1"/>
  <c r="BE52" s="1"/>
  <c r="BF52" s="1"/>
  <c r="BG52" s="1"/>
  <c r="BH52" s="1"/>
  <c r="BI52" s="1"/>
  <c r="BJ52" s="1"/>
  <c r="BK52" s="1"/>
  <c r="BL52" s="1"/>
  <c r="BM52" s="1"/>
  <c r="BN52" s="1"/>
  <c r="BO52" s="1"/>
  <c r="EA52" s="1"/>
  <c r="AP46"/>
  <c r="AQ46" s="1"/>
  <c r="AR46" s="1"/>
  <c r="AS46" s="1"/>
  <c r="AT46" s="1"/>
  <c r="AU46" s="1"/>
  <c r="AV46" s="1"/>
  <c r="AW46" s="1"/>
  <c r="AX46" s="1"/>
  <c r="AY46" s="1"/>
  <c r="AZ46" s="1"/>
  <c r="BA46" s="1"/>
  <c r="BB46" s="1"/>
  <c r="BC46" s="1"/>
  <c r="BD46" s="1"/>
  <c r="BE46" s="1"/>
  <c r="BF46" s="1"/>
  <c r="BG46" s="1"/>
  <c r="BH46" s="1"/>
  <c r="BI46" s="1"/>
  <c r="BJ46" s="1"/>
  <c r="BK46" s="1"/>
  <c r="BL46" s="1"/>
  <c r="BM46" s="1"/>
  <c r="BN46" s="1"/>
  <c r="BO46" s="1"/>
  <c r="EA46" s="1"/>
  <c r="AQ45"/>
  <c r="AR45" s="1"/>
  <c r="AS45" s="1"/>
  <c r="AT45" s="1"/>
  <c r="AU45" s="1"/>
  <c r="AV45" s="1"/>
  <c r="AW45" s="1"/>
  <c r="AX45" s="1"/>
  <c r="AY45" s="1"/>
  <c r="AZ45" s="1"/>
  <c r="BA45" s="1"/>
  <c r="BB45" s="1"/>
  <c r="BC45" s="1"/>
  <c r="BD45" s="1"/>
  <c r="BE45" s="1"/>
  <c r="BF45" s="1"/>
  <c r="BG45" s="1"/>
  <c r="BH45" s="1"/>
  <c r="BI45" s="1"/>
  <c r="BJ45" s="1"/>
  <c r="BK45" s="1"/>
  <c r="BL45" s="1"/>
  <c r="BM45" s="1"/>
  <c r="BN45" s="1"/>
  <c r="BO45" s="1"/>
  <c r="EA45" s="1"/>
  <c r="AP50"/>
  <c r="AQ50" s="1"/>
  <c r="AR50" s="1"/>
  <c r="AS50" s="1"/>
  <c r="AT50" s="1"/>
  <c r="AU50" s="1"/>
  <c r="AV50" s="1"/>
  <c r="AW50" s="1"/>
  <c r="AX50" s="1"/>
  <c r="AY50" s="1"/>
  <c r="AZ50" s="1"/>
  <c r="BA50" s="1"/>
  <c r="BB50" s="1"/>
  <c r="BC50" s="1"/>
  <c r="BD50" s="1"/>
  <c r="BE50" s="1"/>
  <c r="BF50" s="1"/>
  <c r="BG50" s="1"/>
  <c r="BH50" s="1"/>
  <c r="BI50" s="1"/>
  <c r="BJ50" s="1"/>
  <c r="BK50" s="1"/>
  <c r="BL50" s="1"/>
  <c r="BM50" s="1"/>
  <c r="BN50" s="1"/>
  <c r="BO50" s="1"/>
  <c r="EA50" s="1"/>
  <c r="AS49"/>
  <c r="AT49" s="1"/>
  <c r="AU49" s="1"/>
  <c r="AV49" s="1"/>
  <c r="AW49" s="1"/>
  <c r="AX49" s="1"/>
  <c r="AY49" s="1"/>
  <c r="AZ49" s="1"/>
  <c r="BA49" s="1"/>
  <c r="BB49" s="1"/>
  <c r="BC49" s="1"/>
  <c r="BD49" s="1"/>
  <c r="BE49" s="1"/>
  <c r="BF49" s="1"/>
  <c r="BG49" s="1"/>
  <c r="BH49" s="1"/>
  <c r="BI49" s="1"/>
  <c r="BJ49" s="1"/>
  <c r="BK49" s="1"/>
  <c r="BL49" s="1"/>
  <c r="BM49" s="1"/>
  <c r="BN49" s="1"/>
  <c r="BO49" s="1"/>
  <c r="EA49" s="1"/>
  <c r="AM93"/>
  <c r="AM92" s="1"/>
  <c r="AM91" s="1"/>
  <c r="AM90" s="1"/>
  <c r="AM89" s="1"/>
  <c r="AM88" s="1"/>
  <c r="AM87" s="1"/>
  <c r="AM86" s="1"/>
  <c r="AM85" s="1"/>
  <c r="AM84" s="1"/>
  <c r="AM83" s="1"/>
  <c r="AM82" s="1"/>
  <c r="AM81" s="1"/>
  <c r="AM80" s="1"/>
  <c r="AM79" s="1"/>
  <c r="AM78" s="1"/>
  <c r="AM77" s="1"/>
  <c r="AM76" s="1"/>
  <c r="AM75" s="1"/>
  <c r="AM74" s="1"/>
  <c r="AM73" s="1"/>
  <c r="AM72" s="1"/>
  <c r="AM71" s="1"/>
  <c r="AM70" s="1"/>
  <c r="AM69" s="1"/>
  <c r="AM68" s="1"/>
  <c r="BP67"/>
  <c r="EB67"/>
  <c r="EB68" s="1"/>
  <c r="EB69" s="1"/>
  <c r="EB70" s="1"/>
  <c r="EB71" s="1"/>
  <c r="EB72" s="1"/>
  <c r="EB73" s="1"/>
  <c r="EB74" s="1"/>
  <c r="EB75" s="1"/>
  <c r="EB76" s="1"/>
  <c r="EB77" s="1"/>
  <c r="EB78" s="1"/>
  <c r="EB79" s="1"/>
  <c r="EB80" s="1"/>
  <c r="EB81" s="1"/>
  <c r="EB82" s="1"/>
  <c r="EB83" s="1"/>
  <c r="EB84" s="1"/>
  <c r="EB85" s="1"/>
  <c r="EB86" s="1"/>
  <c r="EB87" s="1"/>
  <c r="EB88" s="1"/>
  <c r="EB89" s="1"/>
  <c r="EB90" s="1"/>
  <c r="EB91" s="1"/>
  <c r="EB92" s="1"/>
  <c r="EB93" s="1"/>
  <c r="EB94" s="1"/>
  <c r="EB95" s="1"/>
  <c r="EB96" s="1"/>
  <c r="BP59"/>
  <c r="EA59"/>
  <c r="BP40"/>
  <c r="EA40"/>
  <c r="BP60"/>
  <c r="EA60"/>
  <c r="BP37"/>
  <c r="EA37"/>
  <c r="BP44"/>
  <c r="EA44"/>
  <c r="BP61"/>
  <c r="EA61"/>
  <c r="BP63"/>
  <c r="EA63"/>
  <c r="BP57"/>
  <c r="EA57"/>
  <c r="BP48"/>
  <c r="EA48"/>
  <c r="BP58"/>
  <c r="EA58"/>
  <c r="BP49"/>
  <c r="BP35"/>
  <c r="EA35"/>
  <c r="EA41" l="1"/>
  <c r="CU73" s="1"/>
  <c r="EA47"/>
  <c r="CU79" s="1"/>
  <c r="EA56"/>
  <c r="DZ56" s="1"/>
  <c r="BP43"/>
  <c r="BP45"/>
  <c r="BP62"/>
  <c r="EA39"/>
  <c r="DZ39" s="1"/>
  <c r="BP50"/>
  <c r="BP38"/>
  <c r="BP55"/>
  <c r="BP42"/>
  <c r="BP36"/>
  <c r="BP51"/>
  <c r="EA64"/>
  <c r="CU96" s="1"/>
  <c r="BP52"/>
  <c r="BP46"/>
  <c r="BP53"/>
  <c r="EA54"/>
  <c r="AM67"/>
  <c r="CY67"/>
  <c r="CY68" s="1"/>
  <c r="CY69" s="1"/>
  <c r="CY70" s="1"/>
  <c r="CY71" s="1"/>
  <c r="CY72" s="1"/>
  <c r="CY73" s="1"/>
  <c r="CY74" s="1"/>
  <c r="CY75" s="1"/>
  <c r="CY76" s="1"/>
  <c r="CY77" s="1"/>
  <c r="CY78" s="1"/>
  <c r="CY79" s="1"/>
  <c r="CY80" s="1"/>
  <c r="CY81" s="1"/>
  <c r="CY82" s="1"/>
  <c r="CY83" s="1"/>
  <c r="CY84" s="1"/>
  <c r="CY85" s="1"/>
  <c r="CY86" s="1"/>
  <c r="CY87" s="1"/>
  <c r="CY88" s="1"/>
  <c r="CY89" s="1"/>
  <c r="CY90" s="1"/>
  <c r="CY91" s="1"/>
  <c r="CY92" s="1"/>
  <c r="CY93" s="1"/>
  <c r="CY94" s="1"/>
  <c r="CY95" s="1"/>
  <c r="CY96" s="1"/>
  <c r="CU67"/>
  <c r="DZ35"/>
  <c r="CU81"/>
  <c r="DZ49"/>
  <c r="DZ36"/>
  <c r="CU68"/>
  <c r="CU80"/>
  <c r="DZ48"/>
  <c r="CU82"/>
  <c r="DZ50"/>
  <c r="CU89"/>
  <c r="DZ57"/>
  <c r="CU95"/>
  <c r="BO95" s="1"/>
  <c r="DZ63"/>
  <c r="CU93"/>
  <c r="DZ61"/>
  <c r="DZ44"/>
  <c r="CU76"/>
  <c r="DZ37"/>
  <c r="CU69"/>
  <c r="DZ40"/>
  <c r="CU72"/>
  <c r="CU91"/>
  <c r="DZ59"/>
  <c r="DZ38"/>
  <c r="CU70"/>
  <c r="CU90"/>
  <c r="DZ58"/>
  <c r="DZ45"/>
  <c r="CU77"/>
  <c r="CU83"/>
  <c r="DZ51"/>
  <c r="DZ42"/>
  <c r="CU74"/>
  <c r="CU84"/>
  <c r="DZ52"/>
  <c r="DZ41"/>
  <c r="DZ46"/>
  <c r="CU78"/>
  <c r="CU94"/>
  <c r="DZ62"/>
  <c r="CU87"/>
  <c r="DZ55"/>
  <c r="DZ43"/>
  <c r="CU75"/>
  <c r="CU92"/>
  <c r="DZ60"/>
  <c r="CU85"/>
  <c r="DZ53"/>
  <c r="CU88" l="1"/>
  <c r="DZ47"/>
  <c r="CT79" s="1"/>
  <c r="CU71"/>
  <c r="DZ54"/>
  <c r="CU86"/>
  <c r="DZ64"/>
  <c r="DY64" s="1"/>
  <c r="CS96" s="1"/>
  <c r="BO94"/>
  <c r="BO93" s="1"/>
  <c r="BO92" s="1"/>
  <c r="BO91" s="1"/>
  <c r="BO90" s="1"/>
  <c r="BO89" s="1"/>
  <c r="DY43"/>
  <c r="CT75"/>
  <c r="DY41"/>
  <c r="CT73"/>
  <c r="DY42"/>
  <c r="CT74"/>
  <c r="DY44"/>
  <c r="CT76"/>
  <c r="DY36"/>
  <c r="CT68"/>
  <c r="DY60"/>
  <c r="CT92"/>
  <c r="DY55"/>
  <c r="CT87"/>
  <c r="DY52"/>
  <c r="CT84"/>
  <c r="DY51"/>
  <c r="CT83"/>
  <c r="DY61"/>
  <c r="CT93"/>
  <c r="DY63"/>
  <c r="CT95"/>
  <c r="BN95" s="1"/>
  <c r="DY48"/>
  <c r="CT80"/>
  <c r="DY49"/>
  <c r="CT81"/>
  <c r="DY39"/>
  <c r="CT71"/>
  <c r="DY46"/>
  <c r="CT78"/>
  <c r="DY45"/>
  <c r="CT77"/>
  <c r="DY38"/>
  <c r="CT70"/>
  <c r="DY40"/>
  <c r="CT72"/>
  <c r="DY37"/>
  <c r="CT69"/>
  <c r="DY53"/>
  <c r="CT85"/>
  <c r="DY62"/>
  <c r="CT94"/>
  <c r="DY58"/>
  <c r="CT90"/>
  <c r="DY59"/>
  <c r="CT91"/>
  <c r="DY56"/>
  <c r="CT88"/>
  <c r="DY57"/>
  <c r="CT89"/>
  <c r="DY50"/>
  <c r="CT82"/>
  <c r="DY35"/>
  <c r="CT67"/>
  <c r="BO88" l="1"/>
  <c r="BO87" s="1"/>
  <c r="BO86" s="1"/>
  <c r="BO85" s="1"/>
  <c r="BO84" s="1"/>
  <c r="BO83" s="1"/>
  <c r="BO82" s="1"/>
  <c r="BO81" s="1"/>
  <c r="BO80" s="1"/>
  <c r="BO79" s="1"/>
  <c r="BO78" s="1"/>
  <c r="BO77" s="1"/>
  <c r="BO76" s="1"/>
  <c r="BO75" s="1"/>
  <c r="BO74" s="1"/>
  <c r="BO73" s="1"/>
  <c r="BO72" s="1"/>
  <c r="BO71" s="1"/>
  <c r="BO70" s="1"/>
  <c r="BO69" s="1"/>
  <c r="BO68" s="1"/>
  <c r="BO67" s="1"/>
  <c r="DY47"/>
  <c r="CS79" s="1"/>
  <c r="DX64"/>
  <c r="DW64" s="1"/>
  <c r="CT96"/>
  <c r="CT86"/>
  <c r="DY54"/>
  <c r="BN94"/>
  <c r="BN93" s="1"/>
  <c r="BN92" s="1"/>
  <c r="BN91" s="1"/>
  <c r="BN90" s="1"/>
  <c r="BN89" s="1"/>
  <c r="BN88" s="1"/>
  <c r="BN87" s="1"/>
  <c r="DX45"/>
  <c r="CS77"/>
  <c r="DX48"/>
  <c r="CS80"/>
  <c r="DX52"/>
  <c r="CS84"/>
  <c r="DX41"/>
  <c r="CS73"/>
  <c r="DX58"/>
  <c r="CS90"/>
  <c r="DX35"/>
  <c r="CS67"/>
  <c r="DX57"/>
  <c r="CS89"/>
  <c r="DX59"/>
  <c r="CS91"/>
  <c r="DX62"/>
  <c r="CS94"/>
  <c r="DX40"/>
  <c r="CS72"/>
  <c r="DX39"/>
  <c r="CS71"/>
  <c r="DX61"/>
  <c r="CS93"/>
  <c r="DX60"/>
  <c r="CS92"/>
  <c r="DX50"/>
  <c r="CS82"/>
  <c r="DX56"/>
  <c r="CS88"/>
  <c r="DX53"/>
  <c r="CS85"/>
  <c r="DX37"/>
  <c r="CS69"/>
  <c r="DX38"/>
  <c r="CS70"/>
  <c r="DX46"/>
  <c r="CS78"/>
  <c r="DX49"/>
  <c r="CS81"/>
  <c r="DX63"/>
  <c r="CS95"/>
  <c r="BM95" s="1"/>
  <c r="DX51"/>
  <c r="CS83"/>
  <c r="DX55"/>
  <c r="CS87"/>
  <c r="DX36"/>
  <c r="CS68"/>
  <c r="DX44"/>
  <c r="CS76"/>
  <c r="DX42"/>
  <c r="CS74"/>
  <c r="DX43"/>
  <c r="CS75"/>
  <c r="CR96" l="1"/>
  <c r="DX47"/>
  <c r="CR79" s="1"/>
  <c r="EA67"/>
  <c r="EA68" s="1"/>
  <c r="EA69" s="1"/>
  <c r="EA70" s="1"/>
  <c r="EA71" s="1"/>
  <c r="EA72" s="1"/>
  <c r="EA73" s="1"/>
  <c r="EA74" s="1"/>
  <c r="EA75" s="1"/>
  <c r="EA76" s="1"/>
  <c r="EA77" s="1"/>
  <c r="EA78" s="1"/>
  <c r="EA79" s="1"/>
  <c r="EA80" s="1"/>
  <c r="EA81" s="1"/>
  <c r="EA82" s="1"/>
  <c r="EA83" s="1"/>
  <c r="EA84" s="1"/>
  <c r="EA85" s="1"/>
  <c r="EA86" s="1"/>
  <c r="EA87" s="1"/>
  <c r="EA88" s="1"/>
  <c r="EA89" s="1"/>
  <c r="EA90" s="1"/>
  <c r="EA91" s="1"/>
  <c r="EA92" s="1"/>
  <c r="EA93" s="1"/>
  <c r="EA94" s="1"/>
  <c r="EA95" s="1"/>
  <c r="EA96" s="1"/>
  <c r="CS86"/>
  <c r="DX54"/>
  <c r="BN86"/>
  <c r="BN85" s="1"/>
  <c r="BN84" s="1"/>
  <c r="BN83" s="1"/>
  <c r="BN82" s="1"/>
  <c r="BN81" s="1"/>
  <c r="BN80" s="1"/>
  <c r="BN79" s="1"/>
  <c r="BN78" s="1"/>
  <c r="BN77" s="1"/>
  <c r="BN76" s="1"/>
  <c r="BN75" s="1"/>
  <c r="BN74" s="1"/>
  <c r="BN73" s="1"/>
  <c r="BN72" s="1"/>
  <c r="BN71" s="1"/>
  <c r="BN70" s="1"/>
  <c r="BN69" s="1"/>
  <c r="BN68" s="1"/>
  <c r="BN67" s="1"/>
  <c r="BM94"/>
  <c r="BM93" s="1"/>
  <c r="BM92" s="1"/>
  <c r="BM91" s="1"/>
  <c r="BM90" s="1"/>
  <c r="BM89" s="1"/>
  <c r="BM88" s="1"/>
  <c r="BM87" s="1"/>
  <c r="CR74"/>
  <c r="DW42"/>
  <c r="DW51"/>
  <c r="CR83"/>
  <c r="CR70"/>
  <c r="DW38"/>
  <c r="DW50"/>
  <c r="CR82"/>
  <c r="DW41"/>
  <c r="CR73"/>
  <c r="DW52"/>
  <c r="CR84"/>
  <c r="DW45"/>
  <c r="CR77"/>
  <c r="DW36"/>
  <c r="CR68"/>
  <c r="DW49"/>
  <c r="CR81"/>
  <c r="DW53"/>
  <c r="CR85"/>
  <c r="DW60"/>
  <c r="CR92"/>
  <c r="DW39"/>
  <c r="CR71"/>
  <c r="DW59"/>
  <c r="CR91"/>
  <c r="DW35"/>
  <c r="CR67"/>
  <c r="DW43"/>
  <c r="CR75"/>
  <c r="DW44"/>
  <c r="CR76"/>
  <c r="DW55"/>
  <c r="CR87"/>
  <c r="DW63"/>
  <c r="CR95"/>
  <c r="BL95" s="1"/>
  <c r="DW46"/>
  <c r="CR78"/>
  <c r="DW37"/>
  <c r="CR69"/>
  <c r="DW56"/>
  <c r="CR88"/>
  <c r="CQ96"/>
  <c r="DV64"/>
  <c r="DW61"/>
  <c r="CR93"/>
  <c r="DW40"/>
  <c r="CR72"/>
  <c r="DW62"/>
  <c r="CR94"/>
  <c r="DW57"/>
  <c r="CR89"/>
  <c r="DW58"/>
  <c r="CR90"/>
  <c r="DW48"/>
  <c r="CR80"/>
  <c r="DW47" l="1"/>
  <c r="DV47" s="1"/>
  <c r="BM86"/>
  <c r="BM85" s="1"/>
  <c r="BM84" s="1"/>
  <c r="BM83" s="1"/>
  <c r="BM82" s="1"/>
  <c r="BM81" s="1"/>
  <c r="BM80" s="1"/>
  <c r="BM79" s="1"/>
  <c r="BM78" s="1"/>
  <c r="BM77" s="1"/>
  <c r="BM76" s="1"/>
  <c r="BM75" s="1"/>
  <c r="BM74" s="1"/>
  <c r="BM73" s="1"/>
  <c r="BM72" s="1"/>
  <c r="BM71" s="1"/>
  <c r="BM70" s="1"/>
  <c r="BM69" s="1"/>
  <c r="BM68" s="1"/>
  <c r="BM67" s="1"/>
  <c r="DZ67"/>
  <c r="DZ68" s="1"/>
  <c r="DZ69" s="1"/>
  <c r="DZ70" s="1"/>
  <c r="DZ71" s="1"/>
  <c r="DZ72" s="1"/>
  <c r="DZ73" s="1"/>
  <c r="DZ74" s="1"/>
  <c r="DZ75" s="1"/>
  <c r="DZ76" s="1"/>
  <c r="DZ77" s="1"/>
  <c r="DZ78" s="1"/>
  <c r="DZ79" s="1"/>
  <c r="DZ80" s="1"/>
  <c r="DZ81" s="1"/>
  <c r="DZ82" s="1"/>
  <c r="DZ83" s="1"/>
  <c r="DZ84" s="1"/>
  <c r="DZ85" s="1"/>
  <c r="DZ86" s="1"/>
  <c r="DZ87" s="1"/>
  <c r="DZ88" s="1"/>
  <c r="DZ89" s="1"/>
  <c r="DZ90" s="1"/>
  <c r="DZ91" s="1"/>
  <c r="DZ92" s="1"/>
  <c r="DZ93" s="1"/>
  <c r="DZ94" s="1"/>
  <c r="DZ95" s="1"/>
  <c r="DZ96" s="1"/>
  <c r="CR86"/>
  <c r="DW54"/>
  <c r="BL94"/>
  <c r="BL93" s="1"/>
  <c r="BL92" s="1"/>
  <c r="BL91" s="1"/>
  <c r="BL90" s="1"/>
  <c r="BL89" s="1"/>
  <c r="BL88" s="1"/>
  <c r="BL87" s="1"/>
  <c r="DV48"/>
  <c r="CQ80"/>
  <c r="DV58"/>
  <c r="CQ90"/>
  <c r="DV62"/>
  <c r="CQ94"/>
  <c r="CQ93"/>
  <c r="DV61"/>
  <c r="DV56"/>
  <c r="CQ88"/>
  <c r="DV46"/>
  <c r="CQ78"/>
  <c r="DV55"/>
  <c r="CQ87"/>
  <c r="DV43"/>
  <c r="CQ75"/>
  <c r="DV35"/>
  <c r="CQ67"/>
  <c r="DV39"/>
  <c r="CQ71"/>
  <c r="DV53"/>
  <c r="CQ85"/>
  <c r="DV36"/>
  <c r="CQ68"/>
  <c r="DV52"/>
  <c r="CQ84"/>
  <c r="DV50"/>
  <c r="CQ82"/>
  <c r="DV51"/>
  <c r="CQ83"/>
  <c r="DV38"/>
  <c r="CQ70"/>
  <c r="DV42"/>
  <c r="CQ74"/>
  <c r="DU64"/>
  <c r="CP96"/>
  <c r="DV57"/>
  <c r="CQ89"/>
  <c r="DV40"/>
  <c r="CQ72"/>
  <c r="DV37"/>
  <c r="CQ69"/>
  <c r="DV63"/>
  <c r="CQ95"/>
  <c r="BK95" s="1"/>
  <c r="DV44"/>
  <c r="CQ76"/>
  <c r="DV59"/>
  <c r="CQ91"/>
  <c r="CQ92"/>
  <c r="DV60"/>
  <c r="DV49"/>
  <c r="CQ81"/>
  <c r="DV45"/>
  <c r="CQ77"/>
  <c r="DV41"/>
  <c r="CQ73"/>
  <c r="BK94" l="1"/>
  <c r="BK93" s="1"/>
  <c r="BK92" s="1"/>
  <c r="BK91" s="1"/>
  <c r="BK90" s="1"/>
  <c r="BK89" s="1"/>
  <c r="BK88" s="1"/>
  <c r="BK87" s="1"/>
  <c r="CQ79"/>
  <c r="DY67"/>
  <c r="DY68" s="1"/>
  <c r="DY69" s="1"/>
  <c r="DY70" s="1"/>
  <c r="DY71" s="1"/>
  <c r="DY72" s="1"/>
  <c r="DY73" s="1"/>
  <c r="DY74" s="1"/>
  <c r="DY75" s="1"/>
  <c r="DY76" s="1"/>
  <c r="DY77" s="1"/>
  <c r="DY78" s="1"/>
  <c r="DY79" s="1"/>
  <c r="DY80" s="1"/>
  <c r="DY81" s="1"/>
  <c r="DY82" s="1"/>
  <c r="DY83" s="1"/>
  <c r="DY84" s="1"/>
  <c r="DY85" s="1"/>
  <c r="DY86" s="1"/>
  <c r="DY87" s="1"/>
  <c r="DY88" s="1"/>
  <c r="DY89" s="1"/>
  <c r="DY90" s="1"/>
  <c r="DY91" s="1"/>
  <c r="DY92" s="1"/>
  <c r="DY93" s="1"/>
  <c r="DY94" s="1"/>
  <c r="DY95" s="1"/>
  <c r="DY96" s="1"/>
  <c r="CQ86"/>
  <c r="DV54"/>
  <c r="BL86"/>
  <c r="BL85" s="1"/>
  <c r="BL84" s="1"/>
  <c r="BL83" s="1"/>
  <c r="BL82" s="1"/>
  <c r="BL81" s="1"/>
  <c r="BL80" s="1"/>
  <c r="BL79" s="1"/>
  <c r="BL78" s="1"/>
  <c r="BL77" s="1"/>
  <c r="BL76" s="1"/>
  <c r="BL75" s="1"/>
  <c r="BL74" s="1"/>
  <c r="BL73" s="1"/>
  <c r="BL72" s="1"/>
  <c r="BL71" s="1"/>
  <c r="BL70" s="1"/>
  <c r="BL69" s="1"/>
  <c r="BL68" s="1"/>
  <c r="BL67" s="1"/>
  <c r="DU45"/>
  <c r="CP77"/>
  <c r="DU44"/>
  <c r="CP76"/>
  <c r="DU57"/>
  <c r="CP89"/>
  <c r="DU61"/>
  <c r="CP93"/>
  <c r="DU38"/>
  <c r="CP70"/>
  <c r="DU50"/>
  <c r="CP82"/>
  <c r="DU39"/>
  <c r="CP71"/>
  <c r="DU43"/>
  <c r="CP75"/>
  <c r="DU46"/>
  <c r="CP78"/>
  <c r="DU58"/>
  <c r="CP90"/>
  <c r="DU60"/>
  <c r="CP92"/>
  <c r="DU37"/>
  <c r="CP69"/>
  <c r="DT64"/>
  <c r="CO96"/>
  <c r="DU36"/>
  <c r="CP68"/>
  <c r="DU41"/>
  <c r="CP73"/>
  <c r="DU49"/>
  <c r="CP81"/>
  <c r="DU59"/>
  <c r="CP91"/>
  <c r="DU63"/>
  <c r="CP95"/>
  <c r="BJ95" s="1"/>
  <c r="DU40"/>
  <c r="CP72"/>
  <c r="DU47"/>
  <c r="CP79"/>
  <c r="DU42"/>
  <c r="CP74"/>
  <c r="DU51"/>
  <c r="CP83"/>
  <c r="DU52"/>
  <c r="CP84"/>
  <c r="DU53"/>
  <c r="CP85"/>
  <c r="DU35"/>
  <c r="CP67"/>
  <c r="DU55"/>
  <c r="CP87"/>
  <c r="DU56"/>
  <c r="CP88"/>
  <c r="DU62"/>
  <c r="CP94"/>
  <c r="DU48"/>
  <c r="CP80"/>
  <c r="CP86" l="1"/>
  <c r="DU54"/>
  <c r="BK86"/>
  <c r="BK85" s="1"/>
  <c r="BK84" s="1"/>
  <c r="BK83" s="1"/>
  <c r="BK82" s="1"/>
  <c r="BK81" s="1"/>
  <c r="BK80" s="1"/>
  <c r="BK79" s="1"/>
  <c r="BK78" s="1"/>
  <c r="BK77" s="1"/>
  <c r="BK76" s="1"/>
  <c r="BK75" s="1"/>
  <c r="BK74" s="1"/>
  <c r="BK73" s="1"/>
  <c r="BK72" s="1"/>
  <c r="BK71" s="1"/>
  <c r="BK70" s="1"/>
  <c r="BK69" s="1"/>
  <c r="BK68" s="1"/>
  <c r="BK67" s="1"/>
  <c r="DX67"/>
  <c r="DX68" s="1"/>
  <c r="DX69" s="1"/>
  <c r="DX70" s="1"/>
  <c r="DX71" s="1"/>
  <c r="DX72" s="1"/>
  <c r="DX73" s="1"/>
  <c r="DX74" s="1"/>
  <c r="DX75" s="1"/>
  <c r="DX76" s="1"/>
  <c r="DX77" s="1"/>
  <c r="DX78" s="1"/>
  <c r="DX79" s="1"/>
  <c r="DX80" s="1"/>
  <c r="DX81" s="1"/>
  <c r="DX82" s="1"/>
  <c r="DX83" s="1"/>
  <c r="DX84" s="1"/>
  <c r="DX85" s="1"/>
  <c r="DX86" s="1"/>
  <c r="DX87" s="1"/>
  <c r="DX88" s="1"/>
  <c r="DX89" s="1"/>
  <c r="DX90" s="1"/>
  <c r="DX91" s="1"/>
  <c r="DX92" s="1"/>
  <c r="DX93" s="1"/>
  <c r="DX94" s="1"/>
  <c r="DX95" s="1"/>
  <c r="DX96" s="1"/>
  <c r="BJ94"/>
  <c r="BJ93" s="1"/>
  <c r="BJ92" s="1"/>
  <c r="BJ91" s="1"/>
  <c r="BJ90" s="1"/>
  <c r="BJ89" s="1"/>
  <c r="BJ88" s="1"/>
  <c r="BJ87" s="1"/>
  <c r="DT58"/>
  <c r="CO90"/>
  <c r="DT43"/>
  <c r="CO75"/>
  <c r="DT50"/>
  <c r="CO82"/>
  <c r="DT61"/>
  <c r="CO93"/>
  <c r="DT44"/>
  <c r="CO76"/>
  <c r="DT62"/>
  <c r="CO94"/>
  <c r="DT53"/>
  <c r="CO85"/>
  <c r="DT40"/>
  <c r="CO72"/>
  <c r="DT59"/>
  <c r="CO91"/>
  <c r="DS64"/>
  <c r="CN96"/>
  <c r="DT48"/>
  <c r="CO80"/>
  <c r="DT56"/>
  <c r="CO88"/>
  <c r="DT35"/>
  <c r="CO67"/>
  <c r="DT52"/>
  <c r="CO84"/>
  <c r="DT42"/>
  <c r="CO74"/>
  <c r="DT47"/>
  <c r="CO79"/>
  <c r="DT63"/>
  <c r="CO95"/>
  <c r="BI95" s="1"/>
  <c r="DT49"/>
  <c r="CO81"/>
  <c r="DT36"/>
  <c r="CO68"/>
  <c r="DT55"/>
  <c r="CO87"/>
  <c r="DT51"/>
  <c r="CO83"/>
  <c r="DT41"/>
  <c r="CO73"/>
  <c r="DT37"/>
  <c r="CO69"/>
  <c r="DT60"/>
  <c r="CO92"/>
  <c r="DT46"/>
  <c r="CO78"/>
  <c r="DT39"/>
  <c r="CO71"/>
  <c r="DT38"/>
  <c r="CO70"/>
  <c r="DT57"/>
  <c r="CO89"/>
  <c r="DT45"/>
  <c r="CO77"/>
  <c r="DW67" l="1"/>
  <c r="DW68" s="1"/>
  <c r="DW69" s="1"/>
  <c r="DW70" s="1"/>
  <c r="DW71" s="1"/>
  <c r="DW72" s="1"/>
  <c r="DW73" s="1"/>
  <c r="DW74" s="1"/>
  <c r="DW75" s="1"/>
  <c r="DW76" s="1"/>
  <c r="DW77" s="1"/>
  <c r="DW78" s="1"/>
  <c r="DW79" s="1"/>
  <c r="DW80" s="1"/>
  <c r="DW81" s="1"/>
  <c r="DW82" s="1"/>
  <c r="DW83" s="1"/>
  <c r="DW84" s="1"/>
  <c r="DW85" s="1"/>
  <c r="DW86" s="1"/>
  <c r="DW87" s="1"/>
  <c r="DW88" s="1"/>
  <c r="DW89" s="1"/>
  <c r="DW90" s="1"/>
  <c r="DW91" s="1"/>
  <c r="DW92" s="1"/>
  <c r="DW93" s="1"/>
  <c r="DW94" s="1"/>
  <c r="DW95" s="1"/>
  <c r="DW96" s="1"/>
  <c r="CO86"/>
  <c r="DT54"/>
  <c r="BJ86"/>
  <c r="BJ85" s="1"/>
  <c r="BJ84" s="1"/>
  <c r="BJ83" s="1"/>
  <c r="BJ82" s="1"/>
  <c r="BJ81" s="1"/>
  <c r="BJ80" s="1"/>
  <c r="BJ79" s="1"/>
  <c r="BJ78" s="1"/>
  <c r="BJ77" s="1"/>
  <c r="BJ76" s="1"/>
  <c r="BJ75" s="1"/>
  <c r="BJ74" s="1"/>
  <c r="BJ73" s="1"/>
  <c r="BJ72" s="1"/>
  <c r="BJ71" s="1"/>
  <c r="BJ70" s="1"/>
  <c r="BJ69" s="1"/>
  <c r="BJ68" s="1"/>
  <c r="BJ67" s="1"/>
  <c r="BI94"/>
  <c r="BI93" s="1"/>
  <c r="BI92" s="1"/>
  <c r="BI91" s="1"/>
  <c r="BI90" s="1"/>
  <c r="BI89" s="1"/>
  <c r="BI88" s="1"/>
  <c r="BI87" s="1"/>
  <c r="DS45"/>
  <c r="CN77"/>
  <c r="DS46"/>
  <c r="CN78"/>
  <c r="DS57"/>
  <c r="CN89"/>
  <c r="DS39"/>
  <c r="CN71"/>
  <c r="DS60"/>
  <c r="CN92"/>
  <c r="DS41"/>
  <c r="CN73"/>
  <c r="DS55"/>
  <c r="CN87"/>
  <c r="DS49"/>
  <c r="CN81"/>
  <c r="DS47"/>
  <c r="CN79"/>
  <c r="DS52"/>
  <c r="CN84"/>
  <c r="DS56"/>
  <c r="CN88"/>
  <c r="DR64"/>
  <c r="CM96"/>
  <c r="DS40"/>
  <c r="CN72"/>
  <c r="DS62"/>
  <c r="CN94"/>
  <c r="DS61"/>
  <c r="CN93"/>
  <c r="DS43"/>
  <c r="CN75"/>
  <c r="DS38"/>
  <c r="CN70"/>
  <c r="DS37"/>
  <c r="CN69"/>
  <c r="DS51"/>
  <c r="CN83"/>
  <c r="DS36"/>
  <c r="CN68"/>
  <c r="DS63"/>
  <c r="CN95"/>
  <c r="BH95" s="1"/>
  <c r="DS42"/>
  <c r="CN74"/>
  <c r="DS35"/>
  <c r="CN67"/>
  <c r="DS48"/>
  <c r="CN80"/>
  <c r="DS59"/>
  <c r="CN91"/>
  <c r="DS53"/>
  <c r="CN85"/>
  <c r="DS44"/>
  <c r="CN76"/>
  <c r="DS50"/>
  <c r="CN82"/>
  <c r="DS58"/>
  <c r="CN90"/>
  <c r="BH94" l="1"/>
  <c r="BH93" s="1"/>
  <c r="BH92" s="1"/>
  <c r="BH91" s="1"/>
  <c r="BH90" s="1"/>
  <c r="BH89" s="1"/>
  <c r="BH88" s="1"/>
  <c r="BH87" s="1"/>
  <c r="CN86"/>
  <c r="DS54"/>
  <c r="BI86"/>
  <c r="BI85" s="1"/>
  <c r="BI84" s="1"/>
  <c r="BI83" s="1"/>
  <c r="BI82" s="1"/>
  <c r="BI81" s="1"/>
  <c r="BI80" s="1"/>
  <c r="BI79" s="1"/>
  <c r="BI78" s="1"/>
  <c r="BI77" s="1"/>
  <c r="BI76" s="1"/>
  <c r="BI75" s="1"/>
  <c r="BI74" s="1"/>
  <c r="BI73" s="1"/>
  <c r="BI72" s="1"/>
  <c r="BI71" s="1"/>
  <c r="BI70" s="1"/>
  <c r="BI69" s="1"/>
  <c r="BI68" s="1"/>
  <c r="BI67" s="1"/>
  <c r="DV67"/>
  <c r="DV68" s="1"/>
  <c r="DV69" s="1"/>
  <c r="DV70" s="1"/>
  <c r="DV71" s="1"/>
  <c r="DV72" s="1"/>
  <c r="DV73" s="1"/>
  <c r="DV74" s="1"/>
  <c r="DV75" s="1"/>
  <c r="DV76" s="1"/>
  <c r="DV77" s="1"/>
  <c r="DV78" s="1"/>
  <c r="DV79" s="1"/>
  <c r="DV80" s="1"/>
  <c r="DV81" s="1"/>
  <c r="DV82" s="1"/>
  <c r="DV83" s="1"/>
  <c r="DV84" s="1"/>
  <c r="DV85" s="1"/>
  <c r="DV86" s="1"/>
  <c r="DV87" s="1"/>
  <c r="DV88" s="1"/>
  <c r="DV89" s="1"/>
  <c r="DV90" s="1"/>
  <c r="DV91" s="1"/>
  <c r="DV92" s="1"/>
  <c r="DV93" s="1"/>
  <c r="DV94" s="1"/>
  <c r="DV95" s="1"/>
  <c r="DV96" s="1"/>
  <c r="DR52"/>
  <c r="CM84"/>
  <c r="DR49"/>
  <c r="CM81"/>
  <c r="DR41"/>
  <c r="CM73"/>
  <c r="DR39"/>
  <c r="CM71"/>
  <c r="DR46"/>
  <c r="CM78"/>
  <c r="DR63"/>
  <c r="CM95"/>
  <c r="BG95" s="1"/>
  <c r="DR51"/>
  <c r="CM83"/>
  <c r="DR38"/>
  <c r="CM70"/>
  <c r="DR43"/>
  <c r="CM75"/>
  <c r="DR62"/>
  <c r="CM94"/>
  <c r="DQ64"/>
  <c r="CL96"/>
  <c r="DR58"/>
  <c r="CM90"/>
  <c r="DR44"/>
  <c r="CM76"/>
  <c r="DR59"/>
  <c r="CM91"/>
  <c r="DR48"/>
  <c r="CM80"/>
  <c r="DR42"/>
  <c r="CM74"/>
  <c r="DR36"/>
  <c r="CM68"/>
  <c r="DR37"/>
  <c r="CM69"/>
  <c r="DR61"/>
  <c r="CM93"/>
  <c r="DR40"/>
  <c r="CM72"/>
  <c r="DR50"/>
  <c r="CM82"/>
  <c r="DR53"/>
  <c r="CM85"/>
  <c r="DR35"/>
  <c r="CM67"/>
  <c r="DR56"/>
  <c r="CM88"/>
  <c r="DR47"/>
  <c r="CM79"/>
  <c r="DR55"/>
  <c r="CM87"/>
  <c r="DR60"/>
  <c r="CM92"/>
  <c r="DR57"/>
  <c r="CM89"/>
  <c r="DR45"/>
  <c r="CM77"/>
  <c r="DU67" l="1"/>
  <c r="DU68" s="1"/>
  <c r="DU69" s="1"/>
  <c r="DU70" s="1"/>
  <c r="DU71" s="1"/>
  <c r="DU72" s="1"/>
  <c r="DU73" s="1"/>
  <c r="DU74" s="1"/>
  <c r="DU75" s="1"/>
  <c r="DU76" s="1"/>
  <c r="DU77" s="1"/>
  <c r="DU78" s="1"/>
  <c r="DU79" s="1"/>
  <c r="DU80" s="1"/>
  <c r="DU81" s="1"/>
  <c r="DU82" s="1"/>
  <c r="DU83" s="1"/>
  <c r="DU84" s="1"/>
  <c r="DU85" s="1"/>
  <c r="DU86" s="1"/>
  <c r="DU87" s="1"/>
  <c r="DU88" s="1"/>
  <c r="DU89" s="1"/>
  <c r="DU90" s="1"/>
  <c r="DU91" s="1"/>
  <c r="DU92" s="1"/>
  <c r="DU93" s="1"/>
  <c r="DU94" s="1"/>
  <c r="DU95" s="1"/>
  <c r="DU96" s="1"/>
  <c r="CM86"/>
  <c r="DR54"/>
  <c r="BH86"/>
  <c r="BH85" s="1"/>
  <c r="BH84" s="1"/>
  <c r="BH83" s="1"/>
  <c r="BH82" s="1"/>
  <c r="BH81" s="1"/>
  <c r="BH80" s="1"/>
  <c r="BH79" s="1"/>
  <c r="BH78" s="1"/>
  <c r="BH77" s="1"/>
  <c r="BH76" s="1"/>
  <c r="BH75" s="1"/>
  <c r="BH74" s="1"/>
  <c r="BH73" s="1"/>
  <c r="BH72" s="1"/>
  <c r="BH71" s="1"/>
  <c r="BH70" s="1"/>
  <c r="BH69" s="1"/>
  <c r="BH68" s="1"/>
  <c r="BH67" s="1"/>
  <c r="BG94"/>
  <c r="BG93" s="1"/>
  <c r="BG92" s="1"/>
  <c r="BG91" s="1"/>
  <c r="BG90" s="1"/>
  <c r="BG89" s="1"/>
  <c r="BG88" s="1"/>
  <c r="BG87" s="1"/>
  <c r="DQ53"/>
  <c r="CL85"/>
  <c r="DQ40"/>
  <c r="CL72"/>
  <c r="DQ36"/>
  <c r="CL68"/>
  <c r="DQ48"/>
  <c r="CL80"/>
  <c r="DQ44"/>
  <c r="CL76"/>
  <c r="DP64"/>
  <c r="CK96"/>
  <c r="DQ43"/>
  <c r="CL75"/>
  <c r="DQ51"/>
  <c r="CL83"/>
  <c r="DQ46"/>
  <c r="CL78"/>
  <c r="DQ41"/>
  <c r="CL73"/>
  <c r="DQ52"/>
  <c r="CL84"/>
  <c r="DQ56"/>
  <c r="CL88"/>
  <c r="DQ57"/>
  <c r="CL89"/>
  <c r="DQ55"/>
  <c r="CL87"/>
  <c r="DQ45"/>
  <c r="CL77"/>
  <c r="DQ60"/>
  <c r="CL92"/>
  <c r="DQ47"/>
  <c r="CL79"/>
  <c r="DQ35"/>
  <c r="CL67"/>
  <c r="DQ50"/>
  <c r="CL82"/>
  <c r="DQ61"/>
  <c r="CL93"/>
  <c r="DQ37"/>
  <c r="CL69"/>
  <c r="DQ42"/>
  <c r="CL74"/>
  <c r="DQ59"/>
  <c r="CL91"/>
  <c r="DQ58"/>
  <c r="CL90"/>
  <c r="DQ62"/>
  <c r="CL94"/>
  <c r="DQ38"/>
  <c r="CL70"/>
  <c r="DQ63"/>
  <c r="CL95"/>
  <c r="BF95" s="1"/>
  <c r="DQ39"/>
  <c r="CL71"/>
  <c r="DQ49"/>
  <c r="CL81"/>
  <c r="CL86" l="1"/>
  <c r="DQ54"/>
  <c r="DT67"/>
  <c r="DT68" s="1"/>
  <c r="DT69" s="1"/>
  <c r="DT70" s="1"/>
  <c r="DT71" s="1"/>
  <c r="DT72" s="1"/>
  <c r="DT73" s="1"/>
  <c r="DT74" s="1"/>
  <c r="DT75" s="1"/>
  <c r="DT76" s="1"/>
  <c r="DT77" s="1"/>
  <c r="DT78" s="1"/>
  <c r="DT79" s="1"/>
  <c r="DT80" s="1"/>
  <c r="DT81" s="1"/>
  <c r="DT82" s="1"/>
  <c r="DT83" s="1"/>
  <c r="DT84" s="1"/>
  <c r="DT85" s="1"/>
  <c r="DT86" s="1"/>
  <c r="DT87" s="1"/>
  <c r="DT88" s="1"/>
  <c r="DT89" s="1"/>
  <c r="DT90" s="1"/>
  <c r="DT91" s="1"/>
  <c r="DT92" s="1"/>
  <c r="DT93" s="1"/>
  <c r="DT94" s="1"/>
  <c r="DT95" s="1"/>
  <c r="DT96" s="1"/>
  <c r="BG86"/>
  <c r="BG85" s="1"/>
  <c r="BG84" s="1"/>
  <c r="BG83" s="1"/>
  <c r="BG82" s="1"/>
  <c r="BG81" s="1"/>
  <c r="BG80" s="1"/>
  <c r="BG79" s="1"/>
  <c r="BG78" s="1"/>
  <c r="BG77" s="1"/>
  <c r="BG76" s="1"/>
  <c r="BG75" s="1"/>
  <c r="BG74" s="1"/>
  <c r="BG73" s="1"/>
  <c r="BG72" s="1"/>
  <c r="BG71" s="1"/>
  <c r="BG70" s="1"/>
  <c r="BG69" s="1"/>
  <c r="BG68" s="1"/>
  <c r="BG67" s="1"/>
  <c r="BF94"/>
  <c r="BF93" s="1"/>
  <c r="BF92" s="1"/>
  <c r="BF91" s="1"/>
  <c r="BF90" s="1"/>
  <c r="BF89" s="1"/>
  <c r="BF88" s="1"/>
  <c r="BF87" s="1"/>
  <c r="DP39"/>
  <c r="CK71"/>
  <c r="DP38"/>
  <c r="CK70"/>
  <c r="DP58"/>
  <c r="CK90"/>
  <c r="DP42"/>
  <c r="CK74"/>
  <c r="DP61"/>
  <c r="CK93"/>
  <c r="DP35"/>
  <c r="CK67"/>
  <c r="DP60"/>
  <c r="CK92"/>
  <c r="DP55"/>
  <c r="CK87"/>
  <c r="DP56"/>
  <c r="CK88"/>
  <c r="DP41"/>
  <c r="CK73"/>
  <c r="DP51"/>
  <c r="CK83"/>
  <c r="DO64"/>
  <c r="CJ96"/>
  <c r="DP48"/>
  <c r="CK80"/>
  <c r="DP53"/>
  <c r="CK85"/>
  <c r="DP49"/>
  <c r="CK81"/>
  <c r="DP63"/>
  <c r="CK95"/>
  <c r="BE95" s="1"/>
  <c r="DP62"/>
  <c r="CK94"/>
  <c r="DP59"/>
  <c r="CK91"/>
  <c r="DP37"/>
  <c r="CK69"/>
  <c r="DP50"/>
  <c r="CK82"/>
  <c r="DP47"/>
  <c r="CK79"/>
  <c r="DP45"/>
  <c r="CK77"/>
  <c r="DP57"/>
  <c r="CK89"/>
  <c r="DP52"/>
  <c r="CK84"/>
  <c r="DP46"/>
  <c r="CK78"/>
  <c r="DP43"/>
  <c r="CK75"/>
  <c r="DP44"/>
  <c r="CK76"/>
  <c r="DP36"/>
  <c r="CK68"/>
  <c r="DP40"/>
  <c r="CK72"/>
  <c r="CK86" l="1"/>
  <c r="DP54"/>
  <c r="DS67"/>
  <c r="DS68" s="1"/>
  <c r="DS69" s="1"/>
  <c r="DS70" s="1"/>
  <c r="DS71" s="1"/>
  <c r="DS72" s="1"/>
  <c r="DS73" s="1"/>
  <c r="DS74" s="1"/>
  <c r="DS75" s="1"/>
  <c r="DS76" s="1"/>
  <c r="DS77" s="1"/>
  <c r="DS78" s="1"/>
  <c r="DS79" s="1"/>
  <c r="DS80" s="1"/>
  <c r="DS81" s="1"/>
  <c r="DS82" s="1"/>
  <c r="DS83" s="1"/>
  <c r="DS84" s="1"/>
  <c r="DS85" s="1"/>
  <c r="DS86" s="1"/>
  <c r="DS87" s="1"/>
  <c r="DS88" s="1"/>
  <c r="DS89" s="1"/>
  <c r="DS90" s="1"/>
  <c r="DS91" s="1"/>
  <c r="DS92" s="1"/>
  <c r="DS93" s="1"/>
  <c r="DS94" s="1"/>
  <c r="DS95" s="1"/>
  <c r="DS96" s="1"/>
  <c r="BF86"/>
  <c r="BF85" s="1"/>
  <c r="BF84" s="1"/>
  <c r="BF83" s="1"/>
  <c r="BF82" s="1"/>
  <c r="BF81" s="1"/>
  <c r="BF80" s="1"/>
  <c r="BF79" s="1"/>
  <c r="BF78" s="1"/>
  <c r="BF77" s="1"/>
  <c r="BF76" s="1"/>
  <c r="BF75" s="1"/>
  <c r="BF74" s="1"/>
  <c r="BF73" s="1"/>
  <c r="BF72" s="1"/>
  <c r="BF71" s="1"/>
  <c r="BF70" s="1"/>
  <c r="BF69" s="1"/>
  <c r="BF68" s="1"/>
  <c r="BF67" s="1"/>
  <c r="BE94"/>
  <c r="BE93" s="1"/>
  <c r="BE92" s="1"/>
  <c r="BE91" s="1"/>
  <c r="BE90" s="1"/>
  <c r="BE89" s="1"/>
  <c r="BE88" s="1"/>
  <c r="BE87" s="1"/>
  <c r="DO43"/>
  <c r="CJ75"/>
  <c r="DO45"/>
  <c r="CJ77"/>
  <c r="DO59"/>
  <c r="CJ91"/>
  <c r="DO48"/>
  <c r="CJ80"/>
  <c r="DO60"/>
  <c r="CJ92"/>
  <c r="DO36"/>
  <c r="CJ68"/>
  <c r="DO52"/>
  <c r="CJ84"/>
  <c r="DO50"/>
  <c r="CJ82"/>
  <c r="DO63"/>
  <c r="CJ95"/>
  <c r="BD95" s="1"/>
  <c r="DO53"/>
  <c r="CJ85"/>
  <c r="DO51"/>
  <c r="CJ83"/>
  <c r="DO56"/>
  <c r="CJ88"/>
  <c r="DO35"/>
  <c r="CJ67"/>
  <c r="DO42"/>
  <c r="CJ74"/>
  <c r="DO38"/>
  <c r="CJ70"/>
  <c r="DO40"/>
  <c r="CJ72"/>
  <c r="DO44"/>
  <c r="CJ76"/>
  <c r="DO46"/>
  <c r="CJ78"/>
  <c r="DO57"/>
  <c r="CJ89"/>
  <c r="DO47"/>
  <c r="CJ79"/>
  <c r="DO37"/>
  <c r="CJ69"/>
  <c r="DO62"/>
  <c r="CJ94"/>
  <c r="DO49"/>
  <c r="CJ81"/>
  <c r="DN64"/>
  <c r="CI96"/>
  <c r="DO41"/>
  <c r="CJ73"/>
  <c r="DO55"/>
  <c r="CJ87"/>
  <c r="DO61"/>
  <c r="CJ93"/>
  <c r="DO58"/>
  <c r="CJ90"/>
  <c r="DO39"/>
  <c r="CJ71"/>
  <c r="CJ86" l="1"/>
  <c r="DO54"/>
  <c r="DR67"/>
  <c r="DR68" s="1"/>
  <c r="DR69" s="1"/>
  <c r="DR70" s="1"/>
  <c r="DR71" s="1"/>
  <c r="DR72" s="1"/>
  <c r="DR73" s="1"/>
  <c r="DR74" s="1"/>
  <c r="DR75" s="1"/>
  <c r="DR76" s="1"/>
  <c r="DR77" s="1"/>
  <c r="DR78" s="1"/>
  <c r="DR79" s="1"/>
  <c r="DR80" s="1"/>
  <c r="DR81" s="1"/>
  <c r="DR82" s="1"/>
  <c r="DR83" s="1"/>
  <c r="DR84" s="1"/>
  <c r="DR85" s="1"/>
  <c r="DR86" s="1"/>
  <c r="DR87" s="1"/>
  <c r="DR88" s="1"/>
  <c r="DR89" s="1"/>
  <c r="DR90" s="1"/>
  <c r="DR91" s="1"/>
  <c r="DR92" s="1"/>
  <c r="DR93" s="1"/>
  <c r="DR94" s="1"/>
  <c r="DR95" s="1"/>
  <c r="DR96" s="1"/>
  <c r="BE86"/>
  <c r="BE85" s="1"/>
  <c r="BE84" s="1"/>
  <c r="BE83" s="1"/>
  <c r="BE82" s="1"/>
  <c r="BE81" s="1"/>
  <c r="BE80" s="1"/>
  <c r="BE79" s="1"/>
  <c r="BE78" s="1"/>
  <c r="BE77" s="1"/>
  <c r="BE76" s="1"/>
  <c r="BE75" s="1"/>
  <c r="BE74" s="1"/>
  <c r="BE73" s="1"/>
  <c r="BE72" s="1"/>
  <c r="BE71" s="1"/>
  <c r="BE70" s="1"/>
  <c r="BE69" s="1"/>
  <c r="BE68" s="1"/>
  <c r="BE67" s="1"/>
  <c r="BD94"/>
  <c r="BD93" s="1"/>
  <c r="BD92" s="1"/>
  <c r="BD91" s="1"/>
  <c r="BD90" s="1"/>
  <c r="BD89" s="1"/>
  <c r="BD88" s="1"/>
  <c r="BD87" s="1"/>
  <c r="DN41"/>
  <c r="CI73"/>
  <c r="DN62"/>
  <c r="CI94"/>
  <c r="DN47"/>
  <c r="CI79"/>
  <c r="DN46"/>
  <c r="CI78"/>
  <c r="DN40"/>
  <c r="CI72"/>
  <c r="DN42"/>
  <c r="CI74"/>
  <c r="DN56"/>
  <c r="CI88"/>
  <c r="DN53"/>
  <c r="CI85"/>
  <c r="DN50"/>
  <c r="CI82"/>
  <c r="DN36"/>
  <c r="CI68"/>
  <c r="DN48"/>
  <c r="CI80"/>
  <c r="DN45"/>
  <c r="CI77"/>
  <c r="DN58"/>
  <c r="CI90"/>
  <c r="DN39"/>
  <c r="CI71"/>
  <c r="DN61"/>
  <c r="CI93"/>
  <c r="DN55"/>
  <c r="CI87"/>
  <c r="DM64"/>
  <c r="CH96"/>
  <c r="DN49"/>
  <c r="CI81"/>
  <c r="DN37"/>
  <c r="CI69"/>
  <c r="DN57"/>
  <c r="CI89"/>
  <c r="DN44"/>
  <c r="CI76"/>
  <c r="DN38"/>
  <c r="CI70"/>
  <c r="DN35"/>
  <c r="CI67"/>
  <c r="DN51"/>
  <c r="CI83"/>
  <c r="DN63"/>
  <c r="CI95"/>
  <c r="BC95" s="1"/>
  <c r="DN52"/>
  <c r="CI84"/>
  <c r="DN60"/>
  <c r="CI92"/>
  <c r="DN59"/>
  <c r="CI91"/>
  <c r="DN43"/>
  <c r="CI75"/>
  <c r="DQ67" l="1"/>
  <c r="DQ68" s="1"/>
  <c r="DQ69" s="1"/>
  <c r="DQ70" s="1"/>
  <c r="DQ71" s="1"/>
  <c r="DQ72" s="1"/>
  <c r="DQ73" s="1"/>
  <c r="DQ74" s="1"/>
  <c r="DQ75" s="1"/>
  <c r="DQ76" s="1"/>
  <c r="DQ77" s="1"/>
  <c r="DQ78" s="1"/>
  <c r="DQ79" s="1"/>
  <c r="DQ80" s="1"/>
  <c r="DQ81" s="1"/>
  <c r="DQ82" s="1"/>
  <c r="DQ83" s="1"/>
  <c r="DQ84" s="1"/>
  <c r="DQ85" s="1"/>
  <c r="DQ86" s="1"/>
  <c r="DQ87" s="1"/>
  <c r="DQ88" s="1"/>
  <c r="DQ89" s="1"/>
  <c r="DQ90" s="1"/>
  <c r="DQ91" s="1"/>
  <c r="DQ92" s="1"/>
  <c r="DQ93" s="1"/>
  <c r="DQ94" s="1"/>
  <c r="DQ95" s="1"/>
  <c r="DQ96" s="1"/>
  <c r="CI86"/>
  <c r="DN54"/>
  <c r="BD86"/>
  <c r="BD85" s="1"/>
  <c r="BD84" s="1"/>
  <c r="BD83" s="1"/>
  <c r="BD82" s="1"/>
  <c r="BD81" s="1"/>
  <c r="BD80" s="1"/>
  <c r="BD79" s="1"/>
  <c r="BD78" s="1"/>
  <c r="BD77" s="1"/>
  <c r="BD76" s="1"/>
  <c r="BD75" s="1"/>
  <c r="BD74" s="1"/>
  <c r="BD73" s="1"/>
  <c r="BD72" s="1"/>
  <c r="BD71" s="1"/>
  <c r="BD70" s="1"/>
  <c r="BD69" s="1"/>
  <c r="BD68" s="1"/>
  <c r="BD67" s="1"/>
  <c r="BC94"/>
  <c r="BC93" s="1"/>
  <c r="BC92" s="1"/>
  <c r="BC91" s="1"/>
  <c r="BC90" s="1"/>
  <c r="BC89" s="1"/>
  <c r="BC88" s="1"/>
  <c r="BC87" s="1"/>
  <c r="DM39"/>
  <c r="CH71"/>
  <c r="DM45"/>
  <c r="CH77"/>
  <c r="DM36"/>
  <c r="CH68"/>
  <c r="DM53"/>
  <c r="CH85"/>
  <c r="DM42"/>
  <c r="CH74"/>
  <c r="DM46"/>
  <c r="CH78"/>
  <c r="DM62"/>
  <c r="CH94"/>
  <c r="DM41"/>
  <c r="CH73"/>
  <c r="DM52"/>
  <c r="CH84"/>
  <c r="DM38"/>
  <c r="CH70"/>
  <c r="DM55"/>
  <c r="CH87"/>
  <c r="DM43"/>
  <c r="CH75"/>
  <c r="DM60"/>
  <c r="CH92"/>
  <c r="DM63"/>
  <c r="CH95"/>
  <c r="BB95" s="1"/>
  <c r="DM35"/>
  <c r="CH67"/>
  <c r="DM44"/>
  <c r="CH76"/>
  <c r="DM37"/>
  <c r="CH69"/>
  <c r="DL64"/>
  <c r="CG96"/>
  <c r="DM59"/>
  <c r="CH91"/>
  <c r="DM51"/>
  <c r="CH83"/>
  <c r="DM57"/>
  <c r="CH89"/>
  <c r="DM49"/>
  <c r="CH81"/>
  <c r="DM61"/>
  <c r="CH93"/>
  <c r="DM58"/>
  <c r="CH90"/>
  <c r="DM48"/>
  <c r="CH80"/>
  <c r="DM50"/>
  <c r="CH82"/>
  <c r="DM56"/>
  <c r="CH88"/>
  <c r="DM40"/>
  <c r="CH72"/>
  <c r="DM47"/>
  <c r="CH79"/>
  <c r="DP67" l="1"/>
  <c r="DP68" s="1"/>
  <c r="DP69" s="1"/>
  <c r="DP70" s="1"/>
  <c r="DP71" s="1"/>
  <c r="DP72" s="1"/>
  <c r="DP73" s="1"/>
  <c r="DP74" s="1"/>
  <c r="DP75" s="1"/>
  <c r="DP76" s="1"/>
  <c r="DP77" s="1"/>
  <c r="DP78" s="1"/>
  <c r="DP79" s="1"/>
  <c r="DP80" s="1"/>
  <c r="DP81" s="1"/>
  <c r="DP82" s="1"/>
  <c r="DP83" s="1"/>
  <c r="DP84" s="1"/>
  <c r="DP85" s="1"/>
  <c r="DP86" s="1"/>
  <c r="DP87" s="1"/>
  <c r="DP88" s="1"/>
  <c r="DP89" s="1"/>
  <c r="DP90" s="1"/>
  <c r="DP91" s="1"/>
  <c r="DP92" s="1"/>
  <c r="DP93" s="1"/>
  <c r="DP94" s="1"/>
  <c r="DP95" s="1"/>
  <c r="DP96" s="1"/>
  <c r="CH86"/>
  <c r="DM54"/>
  <c r="BC86"/>
  <c r="BC85" s="1"/>
  <c r="BC84" s="1"/>
  <c r="BC83" s="1"/>
  <c r="BC82" s="1"/>
  <c r="BC81" s="1"/>
  <c r="BC80" s="1"/>
  <c r="BC79" s="1"/>
  <c r="BC78" s="1"/>
  <c r="BC77" s="1"/>
  <c r="BC76" s="1"/>
  <c r="BC75" s="1"/>
  <c r="BC74" s="1"/>
  <c r="BC73" s="1"/>
  <c r="BC72" s="1"/>
  <c r="BC71" s="1"/>
  <c r="BC70" s="1"/>
  <c r="BC69" s="1"/>
  <c r="BC68" s="1"/>
  <c r="BC67" s="1"/>
  <c r="BB94"/>
  <c r="BB93" s="1"/>
  <c r="BB92" s="1"/>
  <c r="BB91" s="1"/>
  <c r="BB90" s="1"/>
  <c r="BB89" s="1"/>
  <c r="BB88" s="1"/>
  <c r="BB87" s="1"/>
  <c r="DL47"/>
  <c r="CG79"/>
  <c r="DL56"/>
  <c r="CG88"/>
  <c r="DL48"/>
  <c r="CG80"/>
  <c r="DL61"/>
  <c r="CG93"/>
  <c r="DL57"/>
  <c r="CG89"/>
  <c r="DL59"/>
  <c r="CG91"/>
  <c r="DL37"/>
  <c r="CG69"/>
  <c r="DL35"/>
  <c r="CG67"/>
  <c r="DL60"/>
  <c r="CG92"/>
  <c r="DL55"/>
  <c r="CG87"/>
  <c r="DL52"/>
  <c r="CG84"/>
  <c r="DL62"/>
  <c r="CG94"/>
  <c r="DL42"/>
  <c r="CG74"/>
  <c r="DL36"/>
  <c r="CG68"/>
  <c r="DL39"/>
  <c r="CG71"/>
  <c r="DL40"/>
  <c r="CG72"/>
  <c r="DL50"/>
  <c r="CG82"/>
  <c r="DL58"/>
  <c r="CG90"/>
  <c r="DL49"/>
  <c r="CG81"/>
  <c r="DL51"/>
  <c r="CG83"/>
  <c r="DK64"/>
  <c r="CF96"/>
  <c r="DL44"/>
  <c r="CG76"/>
  <c r="DL63"/>
  <c r="CG95"/>
  <c r="BA95" s="1"/>
  <c r="DL43"/>
  <c r="CG75"/>
  <c r="DL38"/>
  <c r="CG70"/>
  <c r="DL41"/>
  <c r="CG73"/>
  <c r="DL46"/>
  <c r="CG78"/>
  <c r="DL53"/>
  <c r="CG85"/>
  <c r="DL45"/>
  <c r="CG77"/>
  <c r="BA94" l="1"/>
  <c r="BA93" s="1"/>
  <c r="BA92" s="1"/>
  <c r="BA91" s="1"/>
  <c r="BA90" s="1"/>
  <c r="BA89" s="1"/>
  <c r="BA88" s="1"/>
  <c r="BA87" s="1"/>
  <c r="BB86"/>
  <c r="BB85" s="1"/>
  <c r="BB84" s="1"/>
  <c r="BB83" s="1"/>
  <c r="BB82" s="1"/>
  <c r="BB81" s="1"/>
  <c r="BB80" s="1"/>
  <c r="BB79" s="1"/>
  <c r="BB78" s="1"/>
  <c r="BB77" s="1"/>
  <c r="BB76" s="1"/>
  <c r="BB75" s="1"/>
  <c r="BB74" s="1"/>
  <c r="BB73" s="1"/>
  <c r="BB72" s="1"/>
  <c r="BB71" s="1"/>
  <c r="BB70" s="1"/>
  <c r="BB69" s="1"/>
  <c r="BB68" s="1"/>
  <c r="BB67" s="1"/>
  <c r="DL54"/>
  <c r="CG86"/>
  <c r="DO67"/>
  <c r="DO68" s="1"/>
  <c r="DO69" s="1"/>
  <c r="DO70" s="1"/>
  <c r="DO71" s="1"/>
  <c r="DO72" s="1"/>
  <c r="DO73" s="1"/>
  <c r="DO74" s="1"/>
  <c r="DO75" s="1"/>
  <c r="DO76" s="1"/>
  <c r="DO77" s="1"/>
  <c r="DO78" s="1"/>
  <c r="DO79" s="1"/>
  <c r="DO80" s="1"/>
  <c r="DO81" s="1"/>
  <c r="DO82" s="1"/>
  <c r="DO83" s="1"/>
  <c r="DO84" s="1"/>
  <c r="DO85" s="1"/>
  <c r="DO86" s="1"/>
  <c r="DO87" s="1"/>
  <c r="DO88" s="1"/>
  <c r="DO89" s="1"/>
  <c r="DO90" s="1"/>
  <c r="DO91" s="1"/>
  <c r="DO92" s="1"/>
  <c r="DO93" s="1"/>
  <c r="DO94" s="1"/>
  <c r="DO95" s="1"/>
  <c r="DO96" s="1"/>
  <c r="DK35"/>
  <c r="CF67"/>
  <c r="DK59"/>
  <c r="CF91"/>
  <c r="DK61"/>
  <c r="CF93"/>
  <c r="DK56"/>
  <c r="CF88"/>
  <c r="DK53"/>
  <c r="CF85"/>
  <c r="DK41"/>
  <c r="CF73"/>
  <c r="DK63"/>
  <c r="CF95"/>
  <c r="AZ95" s="1"/>
  <c r="DJ64"/>
  <c r="CE96"/>
  <c r="DK49"/>
  <c r="CF81"/>
  <c r="DK50"/>
  <c r="CF82"/>
  <c r="DK36"/>
  <c r="CF68"/>
  <c r="DK62"/>
  <c r="CF94"/>
  <c r="DK55"/>
  <c r="CF87"/>
  <c r="DK45"/>
  <c r="CF77"/>
  <c r="DK46"/>
  <c r="CF78"/>
  <c r="DK38"/>
  <c r="CF70"/>
  <c r="DK43"/>
  <c r="CF75"/>
  <c r="DK44"/>
  <c r="CF76"/>
  <c r="DK51"/>
  <c r="CF83"/>
  <c r="DK58"/>
  <c r="CF90"/>
  <c r="DK40"/>
  <c r="CF72"/>
  <c r="DK39"/>
  <c r="CF71"/>
  <c r="DK42"/>
  <c r="CF74"/>
  <c r="DK52"/>
  <c r="CF84"/>
  <c r="DK60"/>
  <c r="CF92"/>
  <c r="DK37"/>
  <c r="CF69"/>
  <c r="DK57"/>
  <c r="CF89"/>
  <c r="DK48"/>
  <c r="CF80"/>
  <c r="DK47"/>
  <c r="CF79"/>
  <c r="CF86" l="1"/>
  <c r="DK54"/>
  <c r="DN67"/>
  <c r="DN68" s="1"/>
  <c r="DN69" s="1"/>
  <c r="DN70" s="1"/>
  <c r="DN71" s="1"/>
  <c r="DN72" s="1"/>
  <c r="DN73" s="1"/>
  <c r="DN74" s="1"/>
  <c r="DN75" s="1"/>
  <c r="DN76" s="1"/>
  <c r="DN77" s="1"/>
  <c r="DN78" s="1"/>
  <c r="DN79" s="1"/>
  <c r="DN80" s="1"/>
  <c r="DN81" s="1"/>
  <c r="DN82" s="1"/>
  <c r="DN83" s="1"/>
  <c r="DN84" s="1"/>
  <c r="DN85" s="1"/>
  <c r="DN86" s="1"/>
  <c r="DN87" s="1"/>
  <c r="DN88" s="1"/>
  <c r="DN89" s="1"/>
  <c r="DN90" s="1"/>
  <c r="DN91" s="1"/>
  <c r="DN92" s="1"/>
  <c r="DN93" s="1"/>
  <c r="DN94" s="1"/>
  <c r="DN95" s="1"/>
  <c r="DN96" s="1"/>
  <c r="BA86"/>
  <c r="BA85" s="1"/>
  <c r="BA84" s="1"/>
  <c r="BA83" s="1"/>
  <c r="BA82" s="1"/>
  <c r="BA81" s="1"/>
  <c r="BA80" s="1"/>
  <c r="BA79" s="1"/>
  <c r="BA78" s="1"/>
  <c r="BA77" s="1"/>
  <c r="BA76" s="1"/>
  <c r="BA75" s="1"/>
  <c r="BA74" s="1"/>
  <c r="BA73" s="1"/>
  <c r="BA72" s="1"/>
  <c r="BA71" s="1"/>
  <c r="BA70" s="1"/>
  <c r="BA69" s="1"/>
  <c r="BA68" s="1"/>
  <c r="BA67" s="1"/>
  <c r="AZ94"/>
  <c r="AZ93" s="1"/>
  <c r="AZ92" s="1"/>
  <c r="AZ91" s="1"/>
  <c r="AZ90" s="1"/>
  <c r="AZ89" s="1"/>
  <c r="AZ88" s="1"/>
  <c r="AZ87" s="1"/>
  <c r="DJ37"/>
  <c r="CE69"/>
  <c r="DJ52"/>
  <c r="CE84"/>
  <c r="DJ39"/>
  <c r="CE71"/>
  <c r="DJ58"/>
  <c r="CE90"/>
  <c r="DJ44"/>
  <c r="CE76"/>
  <c r="DJ38"/>
  <c r="CE70"/>
  <c r="DJ45"/>
  <c r="CE77"/>
  <c r="DJ62"/>
  <c r="CE94"/>
  <c r="DJ49"/>
  <c r="CE81"/>
  <c r="DJ63"/>
  <c r="CE95"/>
  <c r="AY95" s="1"/>
  <c r="DJ53"/>
  <c r="CE85"/>
  <c r="DJ61"/>
  <c r="CE93"/>
  <c r="DJ35"/>
  <c r="CE67"/>
  <c r="DJ48"/>
  <c r="CE80"/>
  <c r="DJ47"/>
  <c r="CE79"/>
  <c r="DJ57"/>
  <c r="CE89"/>
  <c r="DJ60"/>
  <c r="CE92"/>
  <c r="DJ42"/>
  <c r="CE74"/>
  <c r="DJ40"/>
  <c r="CE72"/>
  <c r="DJ51"/>
  <c r="CE83"/>
  <c r="DJ43"/>
  <c r="CE75"/>
  <c r="DJ46"/>
  <c r="CE78"/>
  <c r="DJ55"/>
  <c r="CE87"/>
  <c r="DJ36"/>
  <c r="CE68"/>
  <c r="DJ50"/>
  <c r="CE82"/>
  <c r="DI64"/>
  <c r="CD96"/>
  <c r="DJ41"/>
  <c r="CE73"/>
  <c r="DJ56"/>
  <c r="CE88"/>
  <c r="DJ59"/>
  <c r="CE91"/>
  <c r="DM67" l="1"/>
  <c r="DM68" s="1"/>
  <c r="DM69" s="1"/>
  <c r="DM70" s="1"/>
  <c r="DM71" s="1"/>
  <c r="DM72" s="1"/>
  <c r="DM73" s="1"/>
  <c r="DM74" s="1"/>
  <c r="DM75" s="1"/>
  <c r="DM76" s="1"/>
  <c r="DM77" s="1"/>
  <c r="DM78" s="1"/>
  <c r="DM79" s="1"/>
  <c r="DM80" s="1"/>
  <c r="DM81" s="1"/>
  <c r="DM82" s="1"/>
  <c r="DM83" s="1"/>
  <c r="DM84" s="1"/>
  <c r="DM85" s="1"/>
  <c r="DM86" s="1"/>
  <c r="DM87" s="1"/>
  <c r="DM88" s="1"/>
  <c r="DM89" s="1"/>
  <c r="DM90" s="1"/>
  <c r="DM91" s="1"/>
  <c r="DM92" s="1"/>
  <c r="DM93" s="1"/>
  <c r="DM94" s="1"/>
  <c r="DM95" s="1"/>
  <c r="DM96" s="1"/>
  <c r="CE86"/>
  <c r="DJ54"/>
  <c r="AZ86"/>
  <c r="AZ85" s="1"/>
  <c r="AZ84" s="1"/>
  <c r="AZ83" s="1"/>
  <c r="AZ82" s="1"/>
  <c r="AZ81" s="1"/>
  <c r="AZ80" s="1"/>
  <c r="AZ79" s="1"/>
  <c r="AZ78" s="1"/>
  <c r="AZ77" s="1"/>
  <c r="AZ76" s="1"/>
  <c r="AZ75" s="1"/>
  <c r="AZ74" s="1"/>
  <c r="AZ73" s="1"/>
  <c r="AZ72" s="1"/>
  <c r="AZ71" s="1"/>
  <c r="AZ70" s="1"/>
  <c r="AZ69" s="1"/>
  <c r="AZ68" s="1"/>
  <c r="AZ67" s="1"/>
  <c r="AY94"/>
  <c r="AY93" s="1"/>
  <c r="AY92" s="1"/>
  <c r="AY91" s="1"/>
  <c r="AY90" s="1"/>
  <c r="AY89" s="1"/>
  <c r="AY88" s="1"/>
  <c r="AY87" s="1"/>
  <c r="DI56"/>
  <c r="CD88"/>
  <c r="DH64"/>
  <c r="CC96"/>
  <c r="DI46"/>
  <c r="CD78"/>
  <c r="DI42"/>
  <c r="CD74"/>
  <c r="DI59"/>
  <c r="CD91"/>
  <c r="DI41"/>
  <c r="CD73"/>
  <c r="DI50"/>
  <c r="CD82"/>
  <c r="DI55"/>
  <c r="CD87"/>
  <c r="DI43"/>
  <c r="CD75"/>
  <c r="DI40"/>
  <c r="CD72"/>
  <c r="DI57"/>
  <c r="CD89"/>
  <c r="DI48"/>
  <c r="CD80"/>
  <c r="DI61"/>
  <c r="CD93"/>
  <c r="DI63"/>
  <c r="CD95"/>
  <c r="AX95" s="1"/>
  <c r="DI45"/>
  <c r="CD77"/>
  <c r="DI44"/>
  <c r="CD76"/>
  <c r="DI39"/>
  <c r="CD71"/>
  <c r="DI36"/>
  <c r="CD68"/>
  <c r="DI51"/>
  <c r="CD83"/>
  <c r="DI60"/>
  <c r="CD92"/>
  <c r="DI47"/>
  <c r="CD79"/>
  <c r="DI35"/>
  <c r="CD67"/>
  <c r="DI53"/>
  <c r="CD85"/>
  <c r="DI49"/>
  <c r="CD81"/>
  <c r="DI62"/>
  <c r="CD94"/>
  <c r="DI38"/>
  <c r="CD70"/>
  <c r="DI58"/>
  <c r="CD90"/>
  <c r="DI52"/>
  <c r="CD84"/>
  <c r="DI37"/>
  <c r="CD69"/>
  <c r="DL67" l="1"/>
  <c r="DL68" s="1"/>
  <c r="DL69" s="1"/>
  <c r="DL70" s="1"/>
  <c r="DL71" s="1"/>
  <c r="DL72" s="1"/>
  <c r="DL73" s="1"/>
  <c r="DL74" s="1"/>
  <c r="DL75" s="1"/>
  <c r="DL76" s="1"/>
  <c r="DL77" s="1"/>
  <c r="DL78" s="1"/>
  <c r="DL79" s="1"/>
  <c r="DL80" s="1"/>
  <c r="DL81" s="1"/>
  <c r="DL82" s="1"/>
  <c r="DL83" s="1"/>
  <c r="DL84" s="1"/>
  <c r="DL85" s="1"/>
  <c r="DL86" s="1"/>
  <c r="DL87" s="1"/>
  <c r="DL88" s="1"/>
  <c r="DL89" s="1"/>
  <c r="DL90" s="1"/>
  <c r="DL91" s="1"/>
  <c r="DL92" s="1"/>
  <c r="DL93" s="1"/>
  <c r="DL94" s="1"/>
  <c r="DL95" s="1"/>
  <c r="DL96" s="1"/>
  <c r="CD86"/>
  <c r="DI54"/>
  <c r="AY86"/>
  <c r="AY85" s="1"/>
  <c r="AY84" s="1"/>
  <c r="AY83" s="1"/>
  <c r="AY82" s="1"/>
  <c r="AY81" s="1"/>
  <c r="AY80" s="1"/>
  <c r="AY79" s="1"/>
  <c r="AY78" s="1"/>
  <c r="AY77" s="1"/>
  <c r="AY76" s="1"/>
  <c r="AY75" s="1"/>
  <c r="AY74" s="1"/>
  <c r="AY73" s="1"/>
  <c r="AY72" s="1"/>
  <c r="AY71" s="1"/>
  <c r="AY70" s="1"/>
  <c r="AY69" s="1"/>
  <c r="AY68" s="1"/>
  <c r="AY67" s="1"/>
  <c r="AX94"/>
  <c r="AX93" s="1"/>
  <c r="AX92" s="1"/>
  <c r="AX91" s="1"/>
  <c r="AX90" s="1"/>
  <c r="AX89" s="1"/>
  <c r="AX88" s="1"/>
  <c r="AX87" s="1"/>
  <c r="DH46"/>
  <c r="CC78"/>
  <c r="DH37"/>
  <c r="CC69"/>
  <c r="DH58"/>
  <c r="CC90"/>
  <c r="DH62"/>
  <c r="CC94"/>
  <c r="DH53"/>
  <c r="CC85"/>
  <c r="DH47"/>
  <c r="CC79"/>
  <c r="DH51"/>
  <c r="CC83"/>
  <c r="DH39"/>
  <c r="CC71"/>
  <c r="DH45"/>
  <c r="CC77"/>
  <c r="DH63"/>
  <c r="CC95"/>
  <c r="AW95" s="1"/>
  <c r="DH48"/>
  <c r="CC80"/>
  <c r="DH40"/>
  <c r="CC72"/>
  <c r="DH55"/>
  <c r="CC87"/>
  <c r="DH41"/>
  <c r="CC73"/>
  <c r="DH52"/>
  <c r="CC84"/>
  <c r="DH38"/>
  <c r="CC70"/>
  <c r="DH49"/>
  <c r="CC81"/>
  <c r="DH35"/>
  <c r="CC67"/>
  <c r="DH60"/>
  <c r="CC92"/>
  <c r="DH36"/>
  <c r="CC68"/>
  <c r="DH44"/>
  <c r="CC76"/>
  <c r="DH61"/>
  <c r="CC93"/>
  <c r="DH57"/>
  <c r="CC89"/>
  <c r="DH43"/>
  <c r="CC75"/>
  <c r="DH50"/>
  <c r="CC82"/>
  <c r="DH59"/>
  <c r="CC91"/>
  <c r="DH42"/>
  <c r="CC74"/>
  <c r="DG64"/>
  <c r="CB96"/>
  <c r="DH56"/>
  <c r="CC88"/>
  <c r="CC86" l="1"/>
  <c r="DH54"/>
  <c r="DK67"/>
  <c r="DK68" s="1"/>
  <c r="DK69" s="1"/>
  <c r="DK70" s="1"/>
  <c r="DK71" s="1"/>
  <c r="DK72" s="1"/>
  <c r="DK73" s="1"/>
  <c r="DK74" s="1"/>
  <c r="DK75" s="1"/>
  <c r="DK76" s="1"/>
  <c r="DK77" s="1"/>
  <c r="DK78" s="1"/>
  <c r="DK79" s="1"/>
  <c r="DK80" s="1"/>
  <c r="DK81" s="1"/>
  <c r="DK82" s="1"/>
  <c r="DK83" s="1"/>
  <c r="DK84" s="1"/>
  <c r="DK85" s="1"/>
  <c r="DK86" s="1"/>
  <c r="DK87" s="1"/>
  <c r="DK88" s="1"/>
  <c r="DK89" s="1"/>
  <c r="DK90" s="1"/>
  <c r="DK91" s="1"/>
  <c r="DK92" s="1"/>
  <c r="DK93" s="1"/>
  <c r="DK94" s="1"/>
  <c r="DK95" s="1"/>
  <c r="DK96" s="1"/>
  <c r="AX86"/>
  <c r="AX85" s="1"/>
  <c r="AX84" s="1"/>
  <c r="AX83" s="1"/>
  <c r="AX82" s="1"/>
  <c r="AX81" s="1"/>
  <c r="AX80" s="1"/>
  <c r="AX79" s="1"/>
  <c r="AX78" s="1"/>
  <c r="AX77" s="1"/>
  <c r="AX76" s="1"/>
  <c r="AX75" s="1"/>
  <c r="AX74" s="1"/>
  <c r="AX73" s="1"/>
  <c r="AX72" s="1"/>
  <c r="AX71" s="1"/>
  <c r="AX70" s="1"/>
  <c r="AX69" s="1"/>
  <c r="AX68" s="1"/>
  <c r="AX67" s="1"/>
  <c r="AW94"/>
  <c r="AW93" s="1"/>
  <c r="AW92" s="1"/>
  <c r="AW91" s="1"/>
  <c r="AW90" s="1"/>
  <c r="AW89" s="1"/>
  <c r="AW88" s="1"/>
  <c r="AW87" s="1"/>
  <c r="DG56"/>
  <c r="CB88"/>
  <c r="DG42"/>
  <c r="CB74"/>
  <c r="DF64"/>
  <c r="CA96"/>
  <c r="DG59"/>
  <c r="CB91"/>
  <c r="DG43"/>
  <c r="CB75"/>
  <c r="DG61"/>
  <c r="CB93"/>
  <c r="DG44"/>
  <c r="CB76"/>
  <c r="DG60"/>
  <c r="CB92"/>
  <c r="DG49"/>
  <c r="CB81"/>
  <c r="DG52"/>
  <c r="CB84"/>
  <c r="DG55"/>
  <c r="CB87"/>
  <c r="DG48"/>
  <c r="CB80"/>
  <c r="DG45"/>
  <c r="CB77"/>
  <c r="DG51"/>
  <c r="CB83"/>
  <c r="DG53"/>
  <c r="CB85"/>
  <c r="DG58"/>
  <c r="CB90"/>
  <c r="DG46"/>
  <c r="CB78"/>
  <c r="DG50"/>
  <c r="CB82"/>
  <c r="DG57"/>
  <c r="CB89"/>
  <c r="DG36"/>
  <c r="CB68"/>
  <c r="DG35"/>
  <c r="CB67"/>
  <c r="DG38"/>
  <c r="CB70"/>
  <c r="DG41"/>
  <c r="CB73"/>
  <c r="DG40"/>
  <c r="CB72"/>
  <c r="DG63"/>
  <c r="CB95"/>
  <c r="AV95" s="1"/>
  <c r="DG39"/>
  <c r="CB71"/>
  <c r="DG47"/>
  <c r="CB79"/>
  <c r="DG62"/>
  <c r="CB94"/>
  <c r="DG37"/>
  <c r="CB69"/>
  <c r="DG54" l="1"/>
  <c r="CB86"/>
  <c r="AW86"/>
  <c r="AW85" s="1"/>
  <c r="AW84" s="1"/>
  <c r="AW83" s="1"/>
  <c r="AW82" s="1"/>
  <c r="AW81" s="1"/>
  <c r="AW80" s="1"/>
  <c r="AW79" s="1"/>
  <c r="AW78" s="1"/>
  <c r="AW77" s="1"/>
  <c r="AW76" s="1"/>
  <c r="AW75" s="1"/>
  <c r="AW74" s="1"/>
  <c r="AW73" s="1"/>
  <c r="AW72" s="1"/>
  <c r="AW71" s="1"/>
  <c r="AW70" s="1"/>
  <c r="AW69" s="1"/>
  <c r="AW68" s="1"/>
  <c r="AW67" s="1"/>
  <c r="DJ67"/>
  <c r="DJ68" s="1"/>
  <c r="DJ69" s="1"/>
  <c r="DJ70" s="1"/>
  <c r="DJ71" s="1"/>
  <c r="DJ72" s="1"/>
  <c r="DJ73" s="1"/>
  <c r="DJ74" s="1"/>
  <c r="DJ75" s="1"/>
  <c r="DJ76" s="1"/>
  <c r="DJ77" s="1"/>
  <c r="DJ78" s="1"/>
  <c r="DJ79" s="1"/>
  <c r="DJ80" s="1"/>
  <c r="DJ81" s="1"/>
  <c r="DJ82" s="1"/>
  <c r="DJ83" s="1"/>
  <c r="DJ84" s="1"/>
  <c r="DJ85" s="1"/>
  <c r="DJ86" s="1"/>
  <c r="DJ87" s="1"/>
  <c r="DJ88" s="1"/>
  <c r="DJ89" s="1"/>
  <c r="DJ90" s="1"/>
  <c r="DJ91" s="1"/>
  <c r="DJ92" s="1"/>
  <c r="DJ93" s="1"/>
  <c r="DJ94" s="1"/>
  <c r="DJ95" s="1"/>
  <c r="DJ96" s="1"/>
  <c r="AV94"/>
  <c r="AV93" s="1"/>
  <c r="AV92" s="1"/>
  <c r="AV91" s="1"/>
  <c r="AV90" s="1"/>
  <c r="AV89" s="1"/>
  <c r="AV88" s="1"/>
  <c r="AV87" s="1"/>
  <c r="DF37"/>
  <c r="CA69"/>
  <c r="DF47"/>
  <c r="CA79"/>
  <c r="DF63"/>
  <c r="CA95"/>
  <c r="AU95" s="1"/>
  <c r="DF41"/>
  <c r="CA73"/>
  <c r="DF35"/>
  <c r="CA67"/>
  <c r="DF50"/>
  <c r="CA82"/>
  <c r="DF58"/>
  <c r="CA90"/>
  <c r="DF51"/>
  <c r="CA83"/>
  <c r="DF48"/>
  <c r="CA80"/>
  <c r="DF52"/>
  <c r="CA84"/>
  <c r="DF60"/>
  <c r="CA92"/>
  <c r="DF61"/>
  <c r="CA93"/>
  <c r="DF59"/>
  <c r="CA91"/>
  <c r="DF42"/>
  <c r="CA74"/>
  <c r="DF62"/>
  <c r="CA94"/>
  <c r="DF39"/>
  <c r="CA71"/>
  <c r="DF40"/>
  <c r="CA72"/>
  <c r="DF38"/>
  <c r="CA70"/>
  <c r="DF36"/>
  <c r="CA68"/>
  <c r="DF57"/>
  <c r="CA89"/>
  <c r="DF46"/>
  <c r="CA78"/>
  <c r="DF53"/>
  <c r="CA85"/>
  <c r="DF45"/>
  <c r="CA77"/>
  <c r="DF55"/>
  <c r="CA87"/>
  <c r="DF49"/>
  <c r="CA81"/>
  <c r="DF44"/>
  <c r="CA76"/>
  <c r="DF43"/>
  <c r="CA75"/>
  <c r="DE64"/>
  <c r="BZ96"/>
  <c r="DF56"/>
  <c r="CA88"/>
  <c r="DI67" l="1"/>
  <c r="DI68" s="1"/>
  <c r="DI69" s="1"/>
  <c r="DI70" s="1"/>
  <c r="DI71" s="1"/>
  <c r="DI72" s="1"/>
  <c r="DI73" s="1"/>
  <c r="DI74" s="1"/>
  <c r="DI75" s="1"/>
  <c r="DI76" s="1"/>
  <c r="DI77" s="1"/>
  <c r="DI78" s="1"/>
  <c r="DI79" s="1"/>
  <c r="DI80" s="1"/>
  <c r="DI81" s="1"/>
  <c r="DI82" s="1"/>
  <c r="DI83" s="1"/>
  <c r="DI84" s="1"/>
  <c r="DI85" s="1"/>
  <c r="DI86" s="1"/>
  <c r="DI87" s="1"/>
  <c r="DI88" s="1"/>
  <c r="DI89" s="1"/>
  <c r="DI90" s="1"/>
  <c r="DI91" s="1"/>
  <c r="DI92" s="1"/>
  <c r="DI93" s="1"/>
  <c r="DI94" s="1"/>
  <c r="DI95" s="1"/>
  <c r="DI96" s="1"/>
  <c r="CA86"/>
  <c r="DF54"/>
  <c r="AV86"/>
  <c r="AV85" s="1"/>
  <c r="AV84" s="1"/>
  <c r="AV83" s="1"/>
  <c r="AV82" s="1"/>
  <c r="AV81" s="1"/>
  <c r="AV80" s="1"/>
  <c r="AV79" s="1"/>
  <c r="AV78" s="1"/>
  <c r="AV77" s="1"/>
  <c r="AV76" s="1"/>
  <c r="AV75" s="1"/>
  <c r="AV74" s="1"/>
  <c r="AV73" s="1"/>
  <c r="AV72" s="1"/>
  <c r="AV71" s="1"/>
  <c r="AV70" s="1"/>
  <c r="AV69" s="1"/>
  <c r="AV68" s="1"/>
  <c r="AV67" s="1"/>
  <c r="AU94"/>
  <c r="AU93" s="1"/>
  <c r="AU92" s="1"/>
  <c r="AU91" s="1"/>
  <c r="AU90" s="1"/>
  <c r="AU89" s="1"/>
  <c r="AU88" s="1"/>
  <c r="AU87" s="1"/>
  <c r="DD64"/>
  <c r="BY96"/>
  <c r="DE44"/>
  <c r="BZ76"/>
  <c r="DE55"/>
  <c r="BZ87"/>
  <c r="DE53"/>
  <c r="BZ85"/>
  <c r="DE57"/>
  <c r="BZ89"/>
  <c r="DE38"/>
  <c r="BZ70"/>
  <c r="DE39"/>
  <c r="BZ71"/>
  <c r="DE59"/>
  <c r="BZ91"/>
  <c r="DE60"/>
  <c r="BZ92"/>
  <c r="DE48"/>
  <c r="BZ80"/>
  <c r="DE58"/>
  <c r="BZ90"/>
  <c r="DE41"/>
  <c r="BZ73"/>
  <c r="DE47"/>
  <c r="BZ79"/>
  <c r="DE56"/>
  <c r="BZ88"/>
  <c r="DE43"/>
  <c r="BZ75"/>
  <c r="DE49"/>
  <c r="BZ81"/>
  <c r="DE45"/>
  <c r="BZ77"/>
  <c r="DE46"/>
  <c r="BZ78"/>
  <c r="DE36"/>
  <c r="BZ68"/>
  <c r="DE40"/>
  <c r="BZ72"/>
  <c r="DE62"/>
  <c r="BZ94"/>
  <c r="DE42"/>
  <c r="BZ74"/>
  <c r="DE61"/>
  <c r="BZ93"/>
  <c r="DE52"/>
  <c r="BZ84"/>
  <c r="DE51"/>
  <c r="BZ83"/>
  <c r="DE50"/>
  <c r="BZ82"/>
  <c r="DE35"/>
  <c r="BZ67"/>
  <c r="DE63"/>
  <c r="BZ95"/>
  <c r="AT95" s="1"/>
  <c r="DE37"/>
  <c r="BZ69"/>
  <c r="AU86" l="1"/>
  <c r="AU85" s="1"/>
  <c r="AU84" s="1"/>
  <c r="AU83" s="1"/>
  <c r="AU82" s="1"/>
  <c r="AU81" s="1"/>
  <c r="AU80" s="1"/>
  <c r="AU79" s="1"/>
  <c r="AU78" s="1"/>
  <c r="AU77" s="1"/>
  <c r="AU76" s="1"/>
  <c r="AU75" s="1"/>
  <c r="AU74" s="1"/>
  <c r="AU73" s="1"/>
  <c r="AU72" s="1"/>
  <c r="AU71" s="1"/>
  <c r="AU70" s="1"/>
  <c r="AU69" s="1"/>
  <c r="AU68" s="1"/>
  <c r="AU67" s="1"/>
  <c r="BZ86"/>
  <c r="DE54"/>
  <c r="DH67"/>
  <c r="DH68" s="1"/>
  <c r="DH69" s="1"/>
  <c r="DH70" s="1"/>
  <c r="DH71" s="1"/>
  <c r="DH72" s="1"/>
  <c r="DH73" s="1"/>
  <c r="DH74" s="1"/>
  <c r="DH75" s="1"/>
  <c r="DH76" s="1"/>
  <c r="DH77" s="1"/>
  <c r="DH78" s="1"/>
  <c r="DH79" s="1"/>
  <c r="DH80" s="1"/>
  <c r="DH81" s="1"/>
  <c r="DH82" s="1"/>
  <c r="DH83" s="1"/>
  <c r="DH84" s="1"/>
  <c r="DH85" s="1"/>
  <c r="DH86" s="1"/>
  <c r="DH87" s="1"/>
  <c r="DH88" s="1"/>
  <c r="DH89" s="1"/>
  <c r="DH90" s="1"/>
  <c r="DH91" s="1"/>
  <c r="DH92" s="1"/>
  <c r="DH93" s="1"/>
  <c r="DH94" s="1"/>
  <c r="DH95" s="1"/>
  <c r="DH96" s="1"/>
  <c r="AT94"/>
  <c r="AT93" s="1"/>
  <c r="AT92" s="1"/>
  <c r="AT91" s="1"/>
  <c r="AT90" s="1"/>
  <c r="AT89" s="1"/>
  <c r="AT88" s="1"/>
  <c r="AT87" s="1"/>
  <c r="DD35"/>
  <c r="BY67"/>
  <c r="DD61"/>
  <c r="BY93"/>
  <c r="DD36"/>
  <c r="BY68"/>
  <c r="DD45"/>
  <c r="BY77"/>
  <c r="DD43"/>
  <c r="BY75"/>
  <c r="DD47"/>
  <c r="BY79"/>
  <c r="DD48"/>
  <c r="BY80"/>
  <c r="DD59"/>
  <c r="BY91"/>
  <c r="DD38"/>
  <c r="BY70"/>
  <c r="DD53"/>
  <c r="BY85"/>
  <c r="DD44"/>
  <c r="BY76"/>
  <c r="DD37"/>
  <c r="BY69"/>
  <c r="DD51"/>
  <c r="BY83"/>
  <c r="DD62"/>
  <c r="BY94"/>
  <c r="DD63"/>
  <c r="BY95"/>
  <c r="AS95" s="1"/>
  <c r="DD50"/>
  <c r="BY82"/>
  <c r="DD52"/>
  <c r="BY84"/>
  <c r="DD42"/>
  <c r="BY74"/>
  <c r="DD40"/>
  <c r="BY72"/>
  <c r="DD46"/>
  <c r="BY78"/>
  <c r="DD49"/>
  <c r="BY81"/>
  <c r="DD56"/>
  <c r="BY88"/>
  <c r="DD41"/>
  <c r="BY73"/>
  <c r="DD58"/>
  <c r="BY90"/>
  <c r="DD60"/>
  <c r="BY92"/>
  <c r="DD39"/>
  <c r="BY71"/>
  <c r="DD57"/>
  <c r="BY89"/>
  <c r="DD55"/>
  <c r="BY87"/>
  <c r="DC64"/>
  <c r="BX96"/>
  <c r="AT86" l="1"/>
  <c r="AT85" s="1"/>
  <c r="AT84" s="1"/>
  <c r="AT83" s="1"/>
  <c r="AT82" s="1"/>
  <c r="AT81" s="1"/>
  <c r="AT80" s="1"/>
  <c r="AT79" s="1"/>
  <c r="AT78" s="1"/>
  <c r="AT77" s="1"/>
  <c r="AT76" s="1"/>
  <c r="AT75" s="1"/>
  <c r="AT74" s="1"/>
  <c r="AT73" s="1"/>
  <c r="AT72" s="1"/>
  <c r="AT71" s="1"/>
  <c r="AT70" s="1"/>
  <c r="AT69" s="1"/>
  <c r="AT68" s="1"/>
  <c r="AT67" s="1"/>
  <c r="BY86"/>
  <c r="DD54"/>
  <c r="DG67"/>
  <c r="DG68" s="1"/>
  <c r="DG69" s="1"/>
  <c r="DG70" s="1"/>
  <c r="DG71" s="1"/>
  <c r="DG72" s="1"/>
  <c r="DG73" s="1"/>
  <c r="DG74" s="1"/>
  <c r="DG75" s="1"/>
  <c r="DG76" s="1"/>
  <c r="DG77" s="1"/>
  <c r="DG78" s="1"/>
  <c r="DG79" s="1"/>
  <c r="DG80" s="1"/>
  <c r="DG81" s="1"/>
  <c r="DG82" s="1"/>
  <c r="DG83" s="1"/>
  <c r="DG84" s="1"/>
  <c r="DG85" s="1"/>
  <c r="DG86" s="1"/>
  <c r="DG87" s="1"/>
  <c r="DG88" s="1"/>
  <c r="DG89" s="1"/>
  <c r="DG90" s="1"/>
  <c r="DG91" s="1"/>
  <c r="DG92" s="1"/>
  <c r="DG93" s="1"/>
  <c r="DG94" s="1"/>
  <c r="DG95" s="1"/>
  <c r="DG96" s="1"/>
  <c r="AS94"/>
  <c r="AS93" s="1"/>
  <c r="AS92" s="1"/>
  <c r="AS91" s="1"/>
  <c r="AS90" s="1"/>
  <c r="AS89" s="1"/>
  <c r="AS88" s="1"/>
  <c r="AS87" s="1"/>
  <c r="DC55"/>
  <c r="BX87"/>
  <c r="DC58"/>
  <c r="BX90"/>
  <c r="DC52"/>
  <c r="BX84"/>
  <c r="DC45"/>
  <c r="BX77"/>
  <c r="DC61"/>
  <c r="BX93"/>
  <c r="DC40"/>
  <c r="BX72"/>
  <c r="DC63"/>
  <c r="BX95"/>
  <c r="AR95" s="1"/>
  <c r="DC51"/>
  <c r="BX83"/>
  <c r="DC38"/>
  <c r="BX70"/>
  <c r="DC48"/>
  <c r="BX80"/>
  <c r="DC47"/>
  <c r="BX79"/>
  <c r="DB64"/>
  <c r="BW96"/>
  <c r="DC57"/>
  <c r="BX89"/>
  <c r="DC60"/>
  <c r="BX92"/>
  <c r="DC41"/>
  <c r="BX73"/>
  <c r="DC56"/>
  <c r="BX88"/>
  <c r="DC46"/>
  <c r="BX78"/>
  <c r="DC42"/>
  <c r="BX74"/>
  <c r="DC50"/>
  <c r="BX82"/>
  <c r="DC62"/>
  <c r="BX94"/>
  <c r="DC37"/>
  <c r="BX69"/>
  <c r="DC53"/>
  <c r="BX85"/>
  <c r="DC59"/>
  <c r="BX91"/>
  <c r="DC39"/>
  <c r="BX71"/>
  <c r="DC49"/>
  <c r="BX81"/>
  <c r="DC44"/>
  <c r="BX76"/>
  <c r="DC43"/>
  <c r="BX75"/>
  <c r="DC36"/>
  <c r="BX68"/>
  <c r="DC35"/>
  <c r="BX67"/>
  <c r="DC54" l="1"/>
  <c r="BX86"/>
  <c r="DF67"/>
  <c r="DF68" s="1"/>
  <c r="DF69" s="1"/>
  <c r="DF70" s="1"/>
  <c r="DF71" s="1"/>
  <c r="DF72" s="1"/>
  <c r="DF73" s="1"/>
  <c r="DF74" s="1"/>
  <c r="DF75" s="1"/>
  <c r="DF76" s="1"/>
  <c r="DF77" s="1"/>
  <c r="DF78" s="1"/>
  <c r="DF79" s="1"/>
  <c r="DF80" s="1"/>
  <c r="DF81" s="1"/>
  <c r="DF82" s="1"/>
  <c r="DF83" s="1"/>
  <c r="DF84" s="1"/>
  <c r="DF85" s="1"/>
  <c r="DF86" s="1"/>
  <c r="DF87" s="1"/>
  <c r="DF88" s="1"/>
  <c r="DF89" s="1"/>
  <c r="DF90" s="1"/>
  <c r="DF91" s="1"/>
  <c r="DF92" s="1"/>
  <c r="DF93" s="1"/>
  <c r="DF94" s="1"/>
  <c r="DF95" s="1"/>
  <c r="DF96" s="1"/>
  <c r="AS86"/>
  <c r="AS85" s="1"/>
  <c r="AS84" s="1"/>
  <c r="AS83" s="1"/>
  <c r="AS82" s="1"/>
  <c r="AS81" s="1"/>
  <c r="AS80" s="1"/>
  <c r="AS79" s="1"/>
  <c r="AS78" s="1"/>
  <c r="AS77" s="1"/>
  <c r="AS76" s="1"/>
  <c r="AS75" s="1"/>
  <c r="AS74" s="1"/>
  <c r="AS73" s="1"/>
  <c r="AS72" s="1"/>
  <c r="AS71" s="1"/>
  <c r="AS70" s="1"/>
  <c r="AS69" s="1"/>
  <c r="AS68" s="1"/>
  <c r="AS67" s="1"/>
  <c r="AR94"/>
  <c r="AR93" s="1"/>
  <c r="AR92" s="1"/>
  <c r="AR91" s="1"/>
  <c r="AR90" s="1"/>
  <c r="AR89" s="1"/>
  <c r="AR88" s="1"/>
  <c r="AR87" s="1"/>
  <c r="DB36"/>
  <c r="BW68"/>
  <c r="DB44"/>
  <c r="BW76"/>
  <c r="DB39"/>
  <c r="BW71"/>
  <c r="DB59"/>
  <c r="BW91"/>
  <c r="DB37"/>
  <c r="BW69"/>
  <c r="DB50"/>
  <c r="BW82"/>
  <c r="DB46"/>
  <c r="BW78"/>
  <c r="DB41"/>
  <c r="BW73"/>
  <c r="DB57"/>
  <c r="BW89"/>
  <c r="DB47"/>
  <c r="BW79"/>
  <c r="DB38"/>
  <c r="BW70"/>
  <c r="DB63"/>
  <c r="BW95"/>
  <c r="AQ95" s="1"/>
  <c r="DB61"/>
  <c r="BW93"/>
  <c r="DB58"/>
  <c r="BW90"/>
  <c r="DB35"/>
  <c r="BW67"/>
  <c r="DB43"/>
  <c r="BW75"/>
  <c r="DB49"/>
  <c r="BW81"/>
  <c r="DB53"/>
  <c r="BW85"/>
  <c r="DB62"/>
  <c r="BW94"/>
  <c r="DB42"/>
  <c r="BW74"/>
  <c r="DB56"/>
  <c r="BW88"/>
  <c r="DB60"/>
  <c r="BW92"/>
  <c r="DA64"/>
  <c r="BV96"/>
  <c r="DB48"/>
  <c r="BW80"/>
  <c r="DB51"/>
  <c r="BW83"/>
  <c r="DB40"/>
  <c r="BW72"/>
  <c r="DB45"/>
  <c r="BW77"/>
  <c r="DB52"/>
  <c r="BW84"/>
  <c r="DB55"/>
  <c r="BW87"/>
  <c r="DE67" l="1"/>
  <c r="DE68" s="1"/>
  <c r="DE69" s="1"/>
  <c r="DE70" s="1"/>
  <c r="DE71" s="1"/>
  <c r="DE72" s="1"/>
  <c r="DE73" s="1"/>
  <c r="DE74" s="1"/>
  <c r="DE75" s="1"/>
  <c r="DE76" s="1"/>
  <c r="DE77" s="1"/>
  <c r="DE78" s="1"/>
  <c r="DE79" s="1"/>
  <c r="DE80" s="1"/>
  <c r="DE81" s="1"/>
  <c r="DE82" s="1"/>
  <c r="DE83" s="1"/>
  <c r="DE84" s="1"/>
  <c r="DE85" s="1"/>
  <c r="DE86" s="1"/>
  <c r="DE87" s="1"/>
  <c r="DE88" s="1"/>
  <c r="DE89" s="1"/>
  <c r="DE90" s="1"/>
  <c r="DE91" s="1"/>
  <c r="DE92" s="1"/>
  <c r="DE93" s="1"/>
  <c r="DE94" s="1"/>
  <c r="DE95" s="1"/>
  <c r="DE96" s="1"/>
  <c r="BW86"/>
  <c r="DB54"/>
  <c r="AR86"/>
  <c r="AR85" s="1"/>
  <c r="AR84" s="1"/>
  <c r="AR83" s="1"/>
  <c r="AR82" s="1"/>
  <c r="AR81" s="1"/>
  <c r="AR80" s="1"/>
  <c r="AR79" s="1"/>
  <c r="AR78" s="1"/>
  <c r="AR77" s="1"/>
  <c r="AR76" s="1"/>
  <c r="AR75" s="1"/>
  <c r="AR74" s="1"/>
  <c r="AR73" s="1"/>
  <c r="AR72" s="1"/>
  <c r="AR71" s="1"/>
  <c r="AR70" s="1"/>
  <c r="AR69" s="1"/>
  <c r="AR68" s="1"/>
  <c r="AR67" s="1"/>
  <c r="AQ94"/>
  <c r="AQ93" s="1"/>
  <c r="AQ92" s="1"/>
  <c r="AQ91" s="1"/>
  <c r="AQ90" s="1"/>
  <c r="AQ89" s="1"/>
  <c r="AQ88" s="1"/>
  <c r="AQ87" s="1"/>
  <c r="DA52"/>
  <c r="BV84"/>
  <c r="DA40"/>
  <c r="BV72"/>
  <c r="DA60"/>
  <c r="BV92"/>
  <c r="DA42"/>
  <c r="BV74"/>
  <c r="DA53"/>
  <c r="BV85"/>
  <c r="DA49"/>
  <c r="BV81"/>
  <c r="DA43"/>
  <c r="BV75"/>
  <c r="DA58"/>
  <c r="BV90"/>
  <c r="DA63"/>
  <c r="BV95"/>
  <c r="AP95" s="1"/>
  <c r="DA47"/>
  <c r="BV79"/>
  <c r="DA41"/>
  <c r="BV73"/>
  <c r="DA50"/>
  <c r="BV82"/>
  <c r="DA59"/>
  <c r="BV91"/>
  <c r="DA44"/>
  <c r="BV76"/>
  <c r="DA48"/>
  <c r="BV80"/>
  <c r="DA55"/>
  <c r="BV87"/>
  <c r="DA45"/>
  <c r="BV77"/>
  <c r="DA51"/>
  <c r="BV83"/>
  <c r="CZ64"/>
  <c r="BT96" s="1"/>
  <c r="BU96"/>
  <c r="DA56"/>
  <c r="BV88"/>
  <c r="DA62"/>
  <c r="BV94"/>
  <c r="DA35"/>
  <c r="BV67"/>
  <c r="DA61"/>
  <c r="BV93"/>
  <c r="DA38"/>
  <c r="BV70"/>
  <c r="DA57"/>
  <c r="BV89"/>
  <c r="DA46"/>
  <c r="BV78"/>
  <c r="DA37"/>
  <c r="BV69"/>
  <c r="DA39"/>
  <c r="BV71"/>
  <c r="DA36"/>
  <c r="BV68"/>
  <c r="AQ86" l="1"/>
  <c r="AQ85" s="1"/>
  <c r="AQ84" s="1"/>
  <c r="AQ83" s="1"/>
  <c r="AQ82" s="1"/>
  <c r="AQ81" s="1"/>
  <c r="AQ80" s="1"/>
  <c r="AQ79" s="1"/>
  <c r="AQ78" s="1"/>
  <c r="AQ77" s="1"/>
  <c r="AQ76" s="1"/>
  <c r="AQ75" s="1"/>
  <c r="AQ74" s="1"/>
  <c r="AQ73" s="1"/>
  <c r="AQ72" s="1"/>
  <c r="AQ71" s="1"/>
  <c r="AQ70" s="1"/>
  <c r="AQ69" s="1"/>
  <c r="AQ68" s="1"/>
  <c r="AQ67" s="1"/>
  <c r="DA54"/>
  <c r="BV86"/>
  <c r="DD67"/>
  <c r="DD68" s="1"/>
  <c r="DD69" s="1"/>
  <c r="DD70" s="1"/>
  <c r="DD71" s="1"/>
  <c r="DD72" s="1"/>
  <c r="DD73" s="1"/>
  <c r="DD74" s="1"/>
  <c r="DD75" s="1"/>
  <c r="DD76" s="1"/>
  <c r="DD77" s="1"/>
  <c r="DD78" s="1"/>
  <c r="DD79" s="1"/>
  <c r="DD80" s="1"/>
  <c r="DD81" s="1"/>
  <c r="DD82" s="1"/>
  <c r="DD83" s="1"/>
  <c r="DD84" s="1"/>
  <c r="DD85" s="1"/>
  <c r="DD86" s="1"/>
  <c r="DD87" s="1"/>
  <c r="DD88" s="1"/>
  <c r="DD89" s="1"/>
  <c r="DD90" s="1"/>
  <c r="DD91" s="1"/>
  <c r="DD92" s="1"/>
  <c r="DD93" s="1"/>
  <c r="DD94" s="1"/>
  <c r="DD95" s="1"/>
  <c r="DD96" s="1"/>
  <c r="AP94"/>
  <c r="AP93" s="1"/>
  <c r="AP92" s="1"/>
  <c r="AP91" s="1"/>
  <c r="AP90" s="1"/>
  <c r="AP89" s="1"/>
  <c r="AP88" s="1"/>
  <c r="AP87" s="1"/>
  <c r="CZ51"/>
  <c r="BT83" s="1"/>
  <c r="BU83"/>
  <c r="CZ44"/>
  <c r="BT76" s="1"/>
  <c r="BU76"/>
  <c r="CZ50"/>
  <c r="BT82" s="1"/>
  <c r="BU82"/>
  <c r="CZ47"/>
  <c r="BT79" s="1"/>
  <c r="BU79"/>
  <c r="CZ58"/>
  <c r="BT90" s="1"/>
  <c r="BU90"/>
  <c r="CZ49"/>
  <c r="BT81" s="1"/>
  <c r="BU81"/>
  <c r="CZ42"/>
  <c r="BT74" s="1"/>
  <c r="BU74"/>
  <c r="CZ40"/>
  <c r="BT72" s="1"/>
  <c r="BU72"/>
  <c r="CZ46"/>
  <c r="BT78" s="1"/>
  <c r="BU78"/>
  <c r="CZ55"/>
  <c r="BT87" s="1"/>
  <c r="BU87"/>
  <c r="CZ36"/>
  <c r="BT68" s="1"/>
  <c r="BU68"/>
  <c r="CZ37"/>
  <c r="BT69" s="1"/>
  <c r="BU69"/>
  <c r="CZ57"/>
  <c r="BT89" s="1"/>
  <c r="BU89"/>
  <c r="CZ61"/>
  <c r="BT93" s="1"/>
  <c r="BU93"/>
  <c r="CZ35"/>
  <c r="BT67" s="1"/>
  <c r="BU67"/>
  <c r="CZ62"/>
  <c r="BT94" s="1"/>
  <c r="BU94"/>
  <c r="CZ45"/>
  <c r="BT77" s="1"/>
  <c r="BU77"/>
  <c r="CZ39"/>
  <c r="BT71" s="1"/>
  <c r="BU71"/>
  <c r="CZ38"/>
  <c r="BT70" s="1"/>
  <c r="BU70"/>
  <c r="CZ56"/>
  <c r="BT88" s="1"/>
  <c r="BU88"/>
  <c r="CZ48"/>
  <c r="BT80" s="1"/>
  <c r="BU80"/>
  <c r="CZ59"/>
  <c r="BT91" s="1"/>
  <c r="BU91"/>
  <c r="CZ41"/>
  <c r="BT73" s="1"/>
  <c r="BU73"/>
  <c r="CZ63"/>
  <c r="BT95" s="1"/>
  <c r="AN95" s="1"/>
  <c r="BU95"/>
  <c r="AO95" s="1"/>
  <c r="AO94" s="1"/>
  <c r="CZ43"/>
  <c r="BT75" s="1"/>
  <c r="BU75"/>
  <c r="CZ53"/>
  <c r="BT85" s="1"/>
  <c r="BU85"/>
  <c r="CZ60"/>
  <c r="BT92" s="1"/>
  <c r="BU92"/>
  <c r="CZ52"/>
  <c r="BT84" s="1"/>
  <c r="BU84"/>
  <c r="CZ54" l="1"/>
  <c r="BT86" s="1"/>
  <c r="BU86"/>
  <c r="AP86"/>
  <c r="AP85" s="1"/>
  <c r="AP84" s="1"/>
  <c r="AP83" s="1"/>
  <c r="AP82" s="1"/>
  <c r="AP81" s="1"/>
  <c r="AP80" s="1"/>
  <c r="AP79" s="1"/>
  <c r="AP78" s="1"/>
  <c r="AP77" s="1"/>
  <c r="AP76" s="1"/>
  <c r="AP75" s="1"/>
  <c r="AP74" s="1"/>
  <c r="AP73" s="1"/>
  <c r="AP72" s="1"/>
  <c r="AP71" s="1"/>
  <c r="AP70" s="1"/>
  <c r="AP69" s="1"/>
  <c r="AP68" s="1"/>
  <c r="AP67" s="1"/>
  <c r="AO93"/>
  <c r="AO92" s="1"/>
  <c r="AO91" s="1"/>
  <c r="AO90" s="1"/>
  <c r="AO89" s="1"/>
  <c r="AO88" s="1"/>
  <c r="AO87" s="1"/>
  <c r="DC67"/>
  <c r="DC68" s="1"/>
  <c r="DC69" s="1"/>
  <c r="DC70" s="1"/>
  <c r="DC71" s="1"/>
  <c r="DC72" s="1"/>
  <c r="DC73" s="1"/>
  <c r="DC74" s="1"/>
  <c r="DC75" s="1"/>
  <c r="DC76" s="1"/>
  <c r="DC77" s="1"/>
  <c r="DC78" s="1"/>
  <c r="DC79" s="1"/>
  <c r="DC80" s="1"/>
  <c r="DC81" s="1"/>
  <c r="DC82" s="1"/>
  <c r="DC83" s="1"/>
  <c r="DC84" s="1"/>
  <c r="DC85" s="1"/>
  <c r="DC86" s="1"/>
  <c r="DC87" s="1"/>
  <c r="DC88" s="1"/>
  <c r="DC89" s="1"/>
  <c r="DC90" s="1"/>
  <c r="DC91" s="1"/>
  <c r="DC92" s="1"/>
  <c r="DC93" s="1"/>
  <c r="DC94" s="1"/>
  <c r="DC95" s="1"/>
  <c r="DC96" s="1"/>
  <c r="AN94"/>
  <c r="AN93" s="1"/>
  <c r="AN92" s="1"/>
  <c r="AN91" s="1"/>
  <c r="AN90" s="1"/>
  <c r="AN89" s="1"/>
  <c r="AN88" s="1"/>
  <c r="AN87" s="1"/>
  <c r="AO86" l="1"/>
  <c r="AO85" s="1"/>
  <c r="AO84" s="1"/>
  <c r="AO83" s="1"/>
  <c r="AO82" s="1"/>
  <c r="AO81" s="1"/>
  <c r="AO80" s="1"/>
  <c r="AO79" s="1"/>
  <c r="AO78" s="1"/>
  <c r="AO77" s="1"/>
  <c r="AO76" s="1"/>
  <c r="AO75" s="1"/>
  <c r="AO74" s="1"/>
  <c r="AO73" s="1"/>
  <c r="AO72" s="1"/>
  <c r="AO71" s="1"/>
  <c r="AO70" s="1"/>
  <c r="AO69" s="1"/>
  <c r="AO68" s="1"/>
  <c r="AO67" s="1"/>
  <c r="AN86"/>
  <c r="AN85" s="1"/>
  <c r="AN84" s="1"/>
  <c r="AN83" s="1"/>
  <c r="AN82" s="1"/>
  <c r="AN81" s="1"/>
  <c r="AN80" s="1"/>
  <c r="AN79" s="1"/>
  <c r="AN78" s="1"/>
  <c r="AN77" s="1"/>
  <c r="AN76" s="1"/>
  <c r="AN75" s="1"/>
  <c r="AN74" s="1"/>
  <c r="AN73" s="1"/>
  <c r="AN72" s="1"/>
  <c r="AN71" s="1"/>
  <c r="AN70" s="1"/>
  <c r="AN69" s="1"/>
  <c r="AN68" s="1"/>
  <c r="AN67" s="1"/>
  <c r="DB67"/>
  <c r="DB68" s="1"/>
  <c r="DB69" s="1"/>
  <c r="DB70" s="1"/>
  <c r="DB71" s="1"/>
  <c r="DB72" s="1"/>
  <c r="DB73" s="1"/>
  <c r="DB74" s="1"/>
  <c r="DB75" s="1"/>
  <c r="DB76" s="1"/>
  <c r="DB77" s="1"/>
  <c r="DB78" s="1"/>
  <c r="DB79" s="1"/>
  <c r="DB80" s="1"/>
  <c r="DB81" s="1"/>
  <c r="DB82" s="1"/>
  <c r="DB83" s="1"/>
  <c r="DB84" s="1"/>
  <c r="DB85" s="1"/>
  <c r="DB86" s="1"/>
  <c r="DB87" s="1"/>
  <c r="DB88" s="1"/>
  <c r="DB89" s="1"/>
  <c r="DB90" s="1"/>
  <c r="DB91" s="1"/>
  <c r="DB92" s="1"/>
  <c r="DB93" s="1"/>
  <c r="DB94" s="1"/>
  <c r="DB95" s="1"/>
  <c r="DB96" s="1"/>
  <c r="DA67" l="1"/>
  <c r="DA68" s="1"/>
  <c r="DA69" s="1"/>
  <c r="DA70" s="1"/>
  <c r="DA71" s="1"/>
  <c r="DA72" s="1"/>
  <c r="DA73" s="1"/>
  <c r="DA74" s="1"/>
  <c r="DA75" s="1"/>
  <c r="DA76" s="1"/>
  <c r="DA77" s="1"/>
  <c r="DA78" s="1"/>
  <c r="DA79" s="1"/>
  <c r="DA80" s="1"/>
  <c r="DA81" s="1"/>
  <c r="DA82" s="1"/>
  <c r="DA83" s="1"/>
  <c r="DA84" s="1"/>
  <c r="DA85" s="1"/>
  <c r="DA86" s="1"/>
  <c r="DA87" s="1"/>
  <c r="DA88" s="1"/>
  <c r="DA89" s="1"/>
  <c r="DA90" s="1"/>
  <c r="DA91" s="1"/>
  <c r="DA92" s="1"/>
  <c r="DA93" s="1"/>
  <c r="DA94" s="1"/>
  <c r="DA95" s="1"/>
  <c r="DA96" s="1"/>
  <c r="CZ67"/>
  <c r="CZ68" s="1"/>
  <c r="CZ69" s="1"/>
  <c r="CZ70" s="1"/>
  <c r="CZ71" s="1"/>
  <c r="CZ72" s="1"/>
  <c r="CZ73" s="1"/>
  <c r="CZ74" s="1"/>
  <c r="CZ75" s="1"/>
  <c r="CZ76" s="1"/>
  <c r="CZ77" s="1"/>
  <c r="CZ78" s="1"/>
  <c r="CZ79" s="1"/>
  <c r="CZ80" s="1"/>
  <c r="CZ81" s="1"/>
  <c r="CZ82" s="1"/>
  <c r="CZ83" s="1"/>
  <c r="CZ84" s="1"/>
  <c r="CZ85" s="1"/>
  <c r="CZ86" s="1"/>
  <c r="CZ87" s="1"/>
  <c r="CZ88" s="1"/>
  <c r="CZ89" s="1"/>
  <c r="CZ90" s="1"/>
  <c r="CZ91" s="1"/>
  <c r="CZ92" s="1"/>
  <c r="CZ93" s="1"/>
  <c r="CZ94" s="1"/>
  <c r="CZ95" s="1"/>
  <c r="CZ96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<sst xmlns="http://schemas.openxmlformats.org/spreadsheetml/2006/main" count="30" uniqueCount="27">
  <si>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</si>
  <si>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</si>
  <si>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</si>
  <si>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</si>
  <si>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</si>
  <si>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</si>
  <si>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</si>
  <si>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</si>
  <si>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</si>
  <si>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</si>
  <si>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</si>
  <si>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</si>
  <si>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</si>
  <si>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</si>
  <si>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</si>
  <si>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</si>
  <si>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</si>
  <si>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</si>
  <si>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</si>
  <si>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</si>
  <si>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</si>
  <si>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</si>
  <si>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</si>
  <si>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</si>
  <si>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рассчетной области и решателя</t>
  </si>
  <si>
    <t>Физичкские параметры</t>
  </si>
  <si>
    <t>Г.У.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</si>
</sst>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2" borderId="1" xfId="0" applyFill="1" applyBorder="1"/>
    <xf numFmtId="0" fontId="0" fillId="2" borderId="2" xfId="0" applyFill="1" applyBorder="1"/>
    <xf numFmtId="0" fontId="0" fillId="3" borderId="1" xfId="0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2D</a:t>
            </a:r>
            <a:endParaRPr lang="ru-RU"/>
          </a:p>
        </c:rich>
      </c:tx>
      <c:layout/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Лист1!$G$12:$AJ$12</c:f>
              <c:numCache>
                <c:formatCode>General</c:formatCode>
                <c:ptCount val="30"/>
                <c:pt idx="0">
                  <c:v>300</c:v>
                </c:pt>
                <c:pt idx="1">
                  <c:v>291.27909301931527</c:v>
                </c:pt>
                <c:pt idx="2">
                  <c:v>282.57958655170273</c:v>
                </c:pt>
                <c:pt idx="3">
                  <c:v>273.92262966563453</c:v>
                </c:pt>
                <c:pt idx="4">
                  <c:v>265.32887151373859</c:v>
                </c:pt>
                <c:pt idx="5">
                  <c:v>256.81821877222046</c:v>
                </c:pt>
                <c:pt idx="6">
                  <c:v>248.40960185664233</c:v>
                </c:pt>
                <c:pt idx="7">
                  <c:v>240.12075267351378</c:v>
                </c:pt>
                <c:pt idx="8">
                  <c:v>231.96799652768726</c:v>
                </c:pt>
                <c:pt idx="9">
                  <c:v>223.96606063471205</c:v>
                </c:pt>
                <c:pt idx="10">
                  <c:v>216.12790148729334</c:v>
                </c:pt>
                <c:pt idx="11">
                  <c:v>208.46455309844316</c:v>
                </c:pt>
                <c:pt idx="12">
                  <c:v>200.98499789369589</c:v>
                </c:pt>
                <c:pt idx="13">
                  <c:v>193.69606175409203</c:v>
                </c:pt>
                <c:pt idx="14">
                  <c:v>186.60233442391302</c:v>
                </c:pt>
                <c:pt idx="15">
                  <c:v>179.70611619597665</c:v>
                </c:pt>
                <c:pt idx="16">
                  <c:v>173.00739147637117</c:v>
                </c:pt>
                <c:pt idx="17">
                  <c:v>166.50382951360939</c:v>
                </c:pt>
                <c:pt idx="18">
                  <c:v>160.19081225810777</c:v>
                </c:pt>
                <c:pt idx="19">
                  <c:v>154.06148900041597</c:v>
                </c:pt>
                <c:pt idx="20">
                  <c:v>148.10685712443032</c:v>
                </c:pt>
                <c:pt idx="21">
                  <c:v>142.31586800849908</c:v>
                </c:pt>
                <c:pt idx="22">
                  <c:v>136.67555681629048</c:v>
                </c:pt>
                <c:pt idx="23">
                  <c:v>131.17119464378055</c:v>
                </c:pt>
                <c:pt idx="24">
                  <c:v>125.78646123174499</c:v>
                </c:pt>
                <c:pt idx="25">
                  <c:v>120.50363621747802</c:v>
                </c:pt>
                <c:pt idx="26">
                  <c:v>115.30380668762029</c:v>
                </c:pt>
                <c:pt idx="27">
                  <c:v>110.16708860818551</c:v>
                </c:pt>
                <c:pt idx="28">
                  <c:v>105.07285955005614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E0B-4686-8976-ECE83FECE303}"/>
            </c:ext>
          </c:extLst>
        </c:ser>
        <c:dLbls/>
        <c:axId val="86391424"/>
        <c:axId val="86409984"/>
      </c:scatterChart>
      <c:valAx>
        <c:axId val="86391424"/>
        <c:scaling>
          <c:orientation val="minMax"/>
          <c:max val="3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6409984"/>
        <c:crosses val="autoZero"/>
        <c:crossBetween val="midCat"/>
      </c:valAx>
      <c:valAx>
        <c:axId val="864099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Температура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639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aseline="0"/>
              <a:t>2D/1D</a:t>
            </a:r>
            <a:endParaRPr lang="ru-RU" baseline="0"/>
          </a:p>
        </c:rich>
      </c:tx>
      <c:layout/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Лист1!$G$32:$AJ$32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Лист1!$G$31:$AJ$31</c:f>
              <c:numCache>
                <c:formatCode>General</c:formatCode>
                <c:ptCount val="30"/>
                <c:pt idx="0">
                  <c:v>300</c:v>
                </c:pt>
                <c:pt idx="1">
                  <c:v>291.27909301931521</c:v>
                </c:pt>
                <c:pt idx="2">
                  <c:v>282.57958655170273</c:v>
                </c:pt>
                <c:pt idx="3">
                  <c:v>273.92262966563464</c:v>
                </c:pt>
                <c:pt idx="4">
                  <c:v>265.32887151373865</c:v>
                </c:pt>
                <c:pt idx="5">
                  <c:v>256.81821877222046</c:v>
                </c:pt>
                <c:pt idx="6">
                  <c:v>248.40960185664241</c:v>
                </c:pt>
                <c:pt idx="7">
                  <c:v>240.12075267351386</c:v>
                </c:pt>
                <c:pt idx="8">
                  <c:v>231.96799652768738</c:v>
                </c:pt>
                <c:pt idx="9">
                  <c:v>223.96606063471211</c:v>
                </c:pt>
                <c:pt idx="10">
                  <c:v>216.12790148729346</c:v>
                </c:pt>
                <c:pt idx="11">
                  <c:v>208.46455309844328</c:v>
                </c:pt>
                <c:pt idx="12">
                  <c:v>200.984997893696</c:v>
                </c:pt>
                <c:pt idx="13">
                  <c:v>193.69606175409214</c:v>
                </c:pt>
                <c:pt idx="14">
                  <c:v>186.60233442391316</c:v>
                </c:pt>
                <c:pt idx="15">
                  <c:v>179.70611619597679</c:v>
                </c:pt>
                <c:pt idx="16">
                  <c:v>173.00739147637137</c:v>
                </c:pt>
                <c:pt idx="17">
                  <c:v>166.50382951360956</c:v>
                </c:pt>
                <c:pt idx="18">
                  <c:v>160.19081225810791</c:v>
                </c:pt>
                <c:pt idx="19">
                  <c:v>154.06148900041615</c:v>
                </c:pt>
                <c:pt idx="20">
                  <c:v>148.10685712443046</c:v>
                </c:pt>
                <c:pt idx="21">
                  <c:v>142.31586800849922</c:v>
                </c:pt>
                <c:pt idx="22">
                  <c:v>136.67555681629062</c:v>
                </c:pt>
                <c:pt idx="23">
                  <c:v>131.17119464378067</c:v>
                </c:pt>
                <c:pt idx="24">
                  <c:v>125.78646123174509</c:v>
                </c:pt>
                <c:pt idx="25">
                  <c:v>120.50363621747809</c:v>
                </c:pt>
                <c:pt idx="26">
                  <c:v>115.30380668762035</c:v>
                </c:pt>
                <c:pt idx="27">
                  <c:v>110.16708860818555</c:v>
                </c:pt>
                <c:pt idx="28">
                  <c:v>105.07285955005617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/>
        <c:axId val="86850560"/>
        <c:axId val="86881408"/>
      </c:scatterChart>
      <c:valAx>
        <c:axId val="86850560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6881408"/>
        <c:crosses val="autoZero"/>
        <c:crossBetween val="midCat"/>
      </c:valAx>
      <c:valAx>
        <c:axId val="86881408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 Температура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685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571499</xdr:colOff>
      <xdr:row>1</xdr:row>
      <xdr:rowOff>54429</xdr:rowOff>
    </xdr:from>
    <xdr:to>
      <xdr:col>49</xdr:col>
      <xdr:colOff>190499</xdr:colOff>
      <xdr:row>29</xdr:row>
      <xdr:rowOff>13607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223155</xdr:colOff>
      <xdr:row>1</xdr:row>
      <xdr:rowOff>87085</xdr:rowOff>
    </xdr:from>
    <xdr:to>
      <xdr:col>60</xdr:col>
      <xdr:colOff>367392</xdr:colOff>
      <xdr:row>29</xdr:row>
      <xdr:rowOff>13606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9DE45D37-BA95-40D4-8E6B-81D867E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1;&#1080;&#1089;&#1090;%20Microsoft%20Exce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EB96"/>
  <sheetViews>
    <sheetView tabSelected="1" zoomScale="70" zoomScaleNormal="70" workbookViewId="0">
      <selection activeCell="D27" sqref="D27"/>
    </sheetView>
  </sheetViews>
  <sheetFormatPr defaultRowHeight="15"/>
  <cols>
    <col min="1" max="1" width="18.5703125" customWidth="1"/>
    <col min="39" max="39" width="11.7109375" bestFit="1" customWidth="1"/>
    <col min="71" max="71" width="11.7109375" bestFit="1" customWidth="1"/>
  </cols>
  <sheetData>
    <row r="1" spans="1:37">
      <c r="F1" s="1"/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/>
    </row>
    <row r="2" spans="1:37">
      <c r="A2" s="7" t="s">
        <v>24</v>
      </c>
      <c r="B2" s="5" t="s">
        <v>0</v>
      </c>
      <c r="C2" s="1">
        <v>0.1</v>
      </c>
      <c r="F2" s="1">
        <f t="shared" ref="F2:F28" si="0">F3+$C$5</f>
        <v>0.10000000000000007</v>
      </c>
      <c r="G2" s="1">
        <f>$C$13</f>
        <v>300</v>
      </c>
      <c r="H2" s="1">
        <v>291.27909301931516</v>
      </c>
      <c r="I2" s="1">
        <v>282.5795865517025</v>
      </c>
      <c r="J2" s="1">
        <v>273.92262966563425</v>
      </c>
      <c r="K2" s="1">
        <v>265.32887151373825</v>
      </c>
      <c r="L2" s="1">
        <v>256.81821877222006</v>
      </c>
      <c r="M2" s="1">
        <v>248.40960185664196</v>
      </c>
      <c r="N2" s="1">
        <v>240.12075267351332</v>
      </c>
      <c r="O2" s="1">
        <v>231.96799652768684</v>
      </c>
      <c r="P2" s="1">
        <v>223.9660606347116</v>
      </c>
      <c r="Q2" s="1">
        <v>216.12790148729292</v>
      </c>
      <c r="R2" s="1">
        <v>208.46455309844276</v>
      </c>
      <c r="S2" s="1">
        <v>200.98499789369546</v>
      </c>
      <c r="T2" s="1">
        <v>193.69606175409163</v>
      </c>
      <c r="U2" s="1">
        <v>186.60233442391271</v>
      </c>
      <c r="V2" s="1">
        <v>179.70611619597625</v>
      </c>
      <c r="W2" s="1">
        <v>173.0073914763708</v>
      </c>
      <c r="X2" s="1">
        <v>166.50382951360899</v>
      </c>
      <c r="Y2" s="1">
        <v>160.1908122581074</v>
      </c>
      <c r="Z2" s="1">
        <v>154.06148900041555</v>
      </c>
      <c r="AA2" s="1">
        <v>148.10685712442995</v>
      </c>
      <c r="AB2" s="1">
        <v>142.31586800849874</v>
      </c>
      <c r="AC2" s="1">
        <v>136.67555681629017</v>
      </c>
      <c r="AD2" s="1">
        <v>131.17119464378027</v>
      </c>
      <c r="AE2" s="1">
        <v>125.78646123174478</v>
      </c>
      <c r="AF2" s="1">
        <v>120.5036362174778</v>
      </c>
      <c r="AG2" s="1">
        <v>115.30380668762014</v>
      </c>
      <c r="AH2" s="1">
        <v>110.1670886081854</v>
      </c>
      <c r="AI2" s="1">
        <v>105.07285955005608</v>
      </c>
      <c r="AJ2" s="1">
        <f>$C$14</f>
        <v>100</v>
      </c>
      <c r="AK2" s="1">
        <v>30</v>
      </c>
    </row>
    <row r="3" spans="1:37">
      <c r="A3" s="7"/>
      <c r="B3" s="5" t="s">
        <v>1</v>
      </c>
      <c r="C3" s="1">
        <v>0.1</v>
      </c>
      <c r="F3" s="1">
        <f t="shared" si="0"/>
        <v>9.6551724137931103E-2</v>
      </c>
      <c r="G3" s="1">
        <f>$C$13</f>
        <v>300</v>
      </c>
      <c r="H3" s="1">
        <v>291.27909301931516</v>
      </c>
      <c r="I3" s="1">
        <v>282.5795865517025</v>
      </c>
      <c r="J3" s="1">
        <v>273.92262966563425</v>
      </c>
      <c r="K3" s="1">
        <v>265.32887151373825</v>
      </c>
      <c r="L3" s="1">
        <v>256.81821877222006</v>
      </c>
      <c r="M3" s="1">
        <v>248.40960185664196</v>
      </c>
      <c r="N3" s="1">
        <v>240.12075267351332</v>
      </c>
      <c r="O3" s="1">
        <v>231.96799652768684</v>
      </c>
      <c r="P3" s="1">
        <v>223.9660606347116</v>
      </c>
      <c r="Q3" s="1">
        <v>216.12790148729292</v>
      </c>
      <c r="R3" s="1">
        <v>208.46455309844276</v>
      </c>
      <c r="S3" s="1">
        <v>200.98499789369549</v>
      </c>
      <c r="T3" s="1">
        <v>193.69606175409163</v>
      </c>
      <c r="U3" s="1">
        <v>186.60233442391271</v>
      </c>
      <c r="V3" s="1">
        <v>179.70611619597625</v>
      </c>
      <c r="W3" s="1">
        <v>173.0073914763708</v>
      </c>
      <c r="X3" s="1">
        <v>166.50382951360899</v>
      </c>
      <c r="Y3" s="1">
        <v>160.1908122581074</v>
      </c>
      <c r="Z3" s="1">
        <v>154.06148900041555</v>
      </c>
      <c r="AA3" s="1">
        <v>148.10685712442995</v>
      </c>
      <c r="AB3" s="1">
        <v>142.31586800849874</v>
      </c>
      <c r="AC3" s="1">
        <v>136.67555681629017</v>
      </c>
      <c r="AD3" s="1">
        <v>131.17119464378027</v>
      </c>
      <c r="AE3" s="1">
        <v>125.78646123174478</v>
      </c>
      <c r="AF3" s="1">
        <v>120.5036362174778</v>
      </c>
      <c r="AG3" s="1">
        <v>115.30380668762014</v>
      </c>
      <c r="AH3" s="1">
        <v>110.1670886081854</v>
      </c>
      <c r="AI3" s="1">
        <v>105.07285955005608</v>
      </c>
      <c r="AJ3" s="1">
        <f>$C$14</f>
        <v>100</v>
      </c>
      <c r="AK3" s="1">
        <v>29</v>
      </c>
    </row>
    <row r="4" spans="1:37">
      <c r="A4" s="7"/>
      <c r="B4" s="5" t="s">
        <v>2</v>
      </c>
      <c r="C4" s="1">
        <f>C2/29</f>
        <v>3.4482758620689659E-3</v>
      </c>
      <c r="F4" s="1">
        <f t="shared" si="0"/>
        <v>9.310344827586213E-2</v>
      </c>
      <c r="G4" s="1">
        <f>$C$13</f>
        <v>300</v>
      </c>
      <c r="H4" s="1">
        <v>291.27909301931516</v>
      </c>
      <c r="I4" s="1">
        <v>282.5795865517025</v>
      </c>
      <c r="J4" s="1">
        <v>273.92262966563425</v>
      </c>
      <c r="K4" s="1">
        <v>265.32887151373825</v>
      </c>
      <c r="L4" s="1">
        <v>256.81821877222006</v>
      </c>
      <c r="M4" s="1">
        <v>248.40960185664196</v>
      </c>
      <c r="N4" s="1">
        <v>240.12075267351332</v>
      </c>
      <c r="O4" s="1">
        <v>231.96799652768684</v>
      </c>
      <c r="P4" s="1">
        <v>223.9660606347116</v>
      </c>
      <c r="Q4" s="1">
        <v>216.12790148729292</v>
      </c>
      <c r="R4" s="1">
        <v>208.46455309844276</v>
      </c>
      <c r="S4" s="1">
        <v>200.98499789369549</v>
      </c>
      <c r="T4" s="1">
        <v>193.69606175409163</v>
      </c>
      <c r="U4" s="1">
        <v>186.60233442391271</v>
      </c>
      <c r="V4" s="1">
        <v>179.70611619597625</v>
      </c>
      <c r="W4" s="1">
        <v>173.0073914763708</v>
      </c>
      <c r="X4" s="1">
        <v>166.50382951360899</v>
      </c>
      <c r="Y4" s="1">
        <v>160.1908122581074</v>
      </c>
      <c r="Z4" s="1">
        <v>154.06148900041558</v>
      </c>
      <c r="AA4" s="1">
        <v>148.10685712442995</v>
      </c>
      <c r="AB4" s="1">
        <v>142.31586800849874</v>
      </c>
      <c r="AC4" s="1">
        <v>136.67555681629017</v>
      </c>
      <c r="AD4" s="1">
        <v>131.17119464378027</v>
      </c>
      <c r="AE4" s="1">
        <v>125.78646123174478</v>
      </c>
      <c r="AF4" s="1">
        <v>120.5036362174778</v>
      </c>
      <c r="AG4" s="1">
        <v>115.30380668762014</v>
      </c>
      <c r="AH4" s="1">
        <v>110.1670886081854</v>
      </c>
      <c r="AI4" s="1">
        <v>105.07285955005608</v>
      </c>
      <c r="AJ4" s="1">
        <f>$C$14</f>
        <v>100</v>
      </c>
      <c r="AK4" s="1">
        <v>28</v>
      </c>
    </row>
    <row r="5" spans="1:37">
      <c r="A5" s="7"/>
      <c r="B5" s="6" t="s">
        <v>3</v>
      </c>
      <c r="C5" s="4">
        <f>C3/29</f>
        <v>3.4482758620689659E-3</v>
      </c>
      <c r="F5" s="1">
        <f t="shared" si="0"/>
        <v>8.9655172413793158E-2</v>
      </c>
      <c r="G5" s="1">
        <f>$C$13</f>
        <v>300</v>
      </c>
      <c r="H5" s="1">
        <v>291.27909301931516</v>
      </c>
      <c r="I5" s="1">
        <v>282.5795865517025</v>
      </c>
      <c r="J5" s="1">
        <v>273.92262966563425</v>
      </c>
      <c r="K5" s="1">
        <v>265.32887151373825</v>
      </c>
      <c r="L5" s="1">
        <v>256.81821877222006</v>
      </c>
      <c r="M5" s="1">
        <v>248.40960185664196</v>
      </c>
      <c r="N5" s="1">
        <v>240.12075267351332</v>
      </c>
      <c r="O5" s="1">
        <v>231.96799652768684</v>
      </c>
      <c r="P5" s="1">
        <v>223.9660606347116</v>
      </c>
      <c r="Q5" s="1">
        <v>216.12790148729292</v>
      </c>
      <c r="R5" s="1">
        <v>208.46455309844276</v>
      </c>
      <c r="S5" s="1">
        <v>200.98499789369549</v>
      </c>
      <c r="T5" s="1">
        <v>193.69606175409163</v>
      </c>
      <c r="U5" s="1">
        <v>186.60233442391271</v>
      </c>
      <c r="V5" s="1">
        <v>179.70611619597625</v>
      </c>
      <c r="W5" s="1">
        <v>173.0073914763708</v>
      </c>
      <c r="X5" s="1">
        <v>166.50382951360899</v>
      </c>
      <c r="Y5" s="1">
        <v>160.1908122581074</v>
      </c>
      <c r="Z5" s="1">
        <v>154.06148900041558</v>
      </c>
      <c r="AA5" s="1">
        <v>148.10685712442995</v>
      </c>
      <c r="AB5" s="1">
        <v>142.31586800849874</v>
      </c>
      <c r="AC5" s="1">
        <v>136.67555681629017</v>
      </c>
      <c r="AD5" s="1">
        <v>131.17119464378027</v>
      </c>
      <c r="AE5" s="1">
        <v>125.78646123174478</v>
      </c>
      <c r="AF5" s="1">
        <v>120.5036362174778</v>
      </c>
      <c r="AG5" s="1">
        <v>115.30380668762014</v>
      </c>
      <c r="AH5" s="1">
        <v>110.1670886081854</v>
      </c>
      <c r="AI5" s="1">
        <v>105.07285955005608</v>
      </c>
      <c r="AJ5" s="1">
        <f>$C$14</f>
        <v>100</v>
      </c>
      <c r="AK5" s="1">
        <v>27</v>
      </c>
    </row>
    <row r="6" spans="1:37">
      <c r="A6" s="7"/>
      <c r="B6" s="5" t="s">
        <v>4</v>
      </c>
      <c r="C6" s="1">
        <v>200</v>
      </c>
      <c r="D6" s="1">
        <v>15</v>
      </c>
      <c r="F6" s="1">
        <f t="shared" si="0"/>
        <v>8.6206896551724185E-2</v>
      </c>
      <c r="G6" s="1">
        <f>$C$13</f>
        <v>300</v>
      </c>
      <c r="H6" s="1">
        <v>291.27909301931516</v>
      </c>
      <c r="I6" s="1">
        <v>282.5795865517025</v>
      </c>
      <c r="J6" s="1">
        <v>273.92262966563425</v>
      </c>
      <c r="K6" s="1">
        <v>265.32887151373825</v>
      </c>
      <c r="L6" s="1">
        <v>256.81821877222006</v>
      </c>
      <c r="M6" s="1">
        <v>248.40960185664196</v>
      </c>
      <c r="N6" s="1">
        <v>240.12075267351332</v>
      </c>
      <c r="O6" s="1">
        <v>231.96799652768684</v>
      </c>
      <c r="P6" s="1">
        <v>223.9660606347116</v>
      </c>
      <c r="Q6" s="1">
        <v>216.12790148729292</v>
      </c>
      <c r="R6" s="1">
        <v>208.46455309844276</v>
      </c>
      <c r="S6" s="1">
        <v>200.98499789369549</v>
      </c>
      <c r="T6" s="1">
        <v>193.69606175409166</v>
      </c>
      <c r="U6" s="1">
        <v>186.60233442391271</v>
      </c>
      <c r="V6" s="1">
        <v>179.70611619597625</v>
      </c>
      <c r="W6" s="1">
        <v>173.0073914763708</v>
      </c>
      <c r="X6" s="1">
        <v>166.50382951360902</v>
      </c>
      <c r="Y6" s="1">
        <v>160.19081225810743</v>
      </c>
      <c r="Z6" s="1">
        <v>154.06148900041561</v>
      </c>
      <c r="AA6" s="1">
        <v>148.10685712442998</v>
      </c>
      <c r="AB6" s="1">
        <v>142.31586800849877</v>
      </c>
      <c r="AC6" s="1">
        <v>136.67555681629017</v>
      </c>
      <c r="AD6" s="1">
        <v>131.17119464378027</v>
      </c>
      <c r="AE6" s="1">
        <v>125.78646123174478</v>
      </c>
      <c r="AF6" s="1">
        <v>120.5036362174778</v>
      </c>
      <c r="AG6" s="1">
        <v>115.30380668762014</v>
      </c>
      <c r="AH6" s="1">
        <v>110.1670886081854</v>
      </c>
      <c r="AI6" s="1">
        <v>105.07285955005608</v>
      </c>
      <c r="AJ6" s="1">
        <f>$C$14</f>
        <v>100</v>
      </c>
      <c r="AK6" s="1">
        <v>26</v>
      </c>
    </row>
    <row r="7" spans="1:37">
      <c r="A7" s="7"/>
      <c r="B7" s="5" t="s">
        <v>5</v>
      </c>
      <c r="C7" s="1">
        <v>1</v>
      </c>
      <c r="F7" s="1">
        <f t="shared" si="0"/>
        <v>8.2758620689655213E-2</v>
      </c>
      <c r="G7" s="1">
        <f>$C$13</f>
        <v>300</v>
      </c>
      <c r="H7" s="1">
        <v>291.27909301931516</v>
      </c>
      <c r="I7" s="1">
        <v>282.5795865517025</v>
      </c>
      <c r="J7" s="1">
        <v>273.92262966563425</v>
      </c>
      <c r="K7" s="1">
        <v>265.32887151373825</v>
      </c>
      <c r="L7" s="1">
        <v>256.81821877222006</v>
      </c>
      <c r="M7" s="1">
        <v>248.40960185664196</v>
      </c>
      <c r="N7" s="1">
        <v>240.12075267351332</v>
      </c>
      <c r="O7" s="1">
        <v>231.96799652768686</v>
      </c>
      <c r="P7" s="1">
        <v>223.96606063471162</v>
      </c>
      <c r="Q7" s="1">
        <v>216.12790148729295</v>
      </c>
      <c r="R7" s="1">
        <v>208.46455309844276</v>
      </c>
      <c r="S7" s="1">
        <v>200.98499789369549</v>
      </c>
      <c r="T7" s="1">
        <v>193.69606175409166</v>
      </c>
      <c r="U7" s="1">
        <v>186.60233442391271</v>
      </c>
      <c r="V7" s="1">
        <v>179.70611619597628</v>
      </c>
      <c r="W7" s="1">
        <v>173.0073914763708</v>
      </c>
      <c r="X7" s="1">
        <v>166.50382951360905</v>
      </c>
      <c r="Y7" s="1">
        <v>160.19081225810743</v>
      </c>
      <c r="Z7" s="1">
        <v>154.06148900041563</v>
      </c>
      <c r="AA7" s="1">
        <v>148.10685712443001</v>
      </c>
      <c r="AB7" s="1">
        <v>142.3158680084988</v>
      </c>
      <c r="AC7" s="1">
        <v>136.67555681629023</v>
      </c>
      <c r="AD7" s="1">
        <v>131.1711946437803</v>
      </c>
      <c r="AE7" s="1">
        <v>125.78646123174479</v>
      </c>
      <c r="AF7" s="1">
        <v>120.50363621747782</v>
      </c>
      <c r="AG7" s="1">
        <v>115.30380668762015</v>
      </c>
      <c r="AH7" s="1">
        <v>110.16708860818541</v>
      </c>
      <c r="AI7" s="1">
        <v>105.07285955005608</v>
      </c>
      <c r="AJ7" s="1">
        <f>$C$14</f>
        <v>100</v>
      </c>
      <c r="AK7" s="1">
        <v>25</v>
      </c>
    </row>
    <row r="8" spans="1:37">
      <c r="F8" s="1">
        <f t="shared" si="0"/>
        <v>7.931034482758624E-2</v>
      </c>
      <c r="G8" s="1">
        <f>$C$13</f>
        <v>300</v>
      </c>
      <c r="H8" s="1">
        <v>291.27909301931516</v>
      </c>
      <c r="I8" s="1">
        <v>282.5795865517025</v>
      </c>
      <c r="J8" s="1">
        <v>273.92262966563425</v>
      </c>
      <c r="K8" s="1">
        <v>265.32887151373825</v>
      </c>
      <c r="L8" s="1">
        <v>256.81821877222006</v>
      </c>
      <c r="M8" s="1">
        <v>248.40960185664198</v>
      </c>
      <c r="N8" s="1">
        <v>240.12075267351338</v>
      </c>
      <c r="O8" s="1">
        <v>231.96799652768692</v>
      </c>
      <c r="P8" s="1">
        <v>223.96606063471168</v>
      </c>
      <c r="Q8" s="1">
        <v>216.127901487293</v>
      </c>
      <c r="R8" s="1">
        <v>208.46455309844282</v>
      </c>
      <c r="S8" s="1">
        <v>200.98499789369555</v>
      </c>
      <c r="T8" s="1">
        <v>193.69606175409166</v>
      </c>
      <c r="U8" s="1">
        <v>186.60233442391274</v>
      </c>
      <c r="V8" s="1">
        <v>179.70611619597634</v>
      </c>
      <c r="W8" s="1">
        <v>173.00739147637086</v>
      </c>
      <c r="X8" s="1">
        <v>166.50382951360911</v>
      </c>
      <c r="Y8" s="1">
        <v>160.19081225810748</v>
      </c>
      <c r="Z8" s="1">
        <v>154.06148900041569</v>
      </c>
      <c r="AA8" s="1">
        <v>148.10685712443006</v>
      </c>
      <c r="AB8" s="1">
        <v>142.31586800849882</v>
      </c>
      <c r="AC8" s="1">
        <v>136.67555681629025</v>
      </c>
      <c r="AD8" s="1">
        <v>131.17119464378032</v>
      </c>
      <c r="AE8" s="1">
        <v>125.78646123174482</v>
      </c>
      <c r="AF8" s="1">
        <v>120.50363621747783</v>
      </c>
      <c r="AG8" s="1">
        <v>115.30380668762015</v>
      </c>
      <c r="AH8" s="1">
        <v>110.16708860818541</v>
      </c>
      <c r="AI8" s="1">
        <v>105.07285955005608</v>
      </c>
      <c r="AJ8" s="1">
        <f>$C$14</f>
        <v>100</v>
      </c>
      <c r="AK8" s="1">
        <v>24</v>
      </c>
    </row>
    <row r="9" spans="1:37">
      <c r="A9" s="7" t="s">
        <v>25</v>
      </c>
      <c r="B9" s="5" t="s">
        <v>6</v>
      </c>
      <c r="C9" s="1">
        <v>460</v>
      </c>
      <c r="F9" s="1">
        <f t="shared" si="0"/>
        <v>7.5862068965517268E-2</v>
      </c>
      <c r="G9" s="1">
        <f>$C$13</f>
        <v>300</v>
      </c>
      <c r="H9" s="1">
        <v>291.27909301931516</v>
      </c>
      <c r="I9" s="1">
        <v>282.5795865517025</v>
      </c>
      <c r="J9" s="1">
        <v>273.9226296656343</v>
      </c>
      <c r="K9" s="1">
        <v>265.32887151373831</v>
      </c>
      <c r="L9" s="1">
        <v>256.81821877222012</v>
      </c>
      <c r="M9" s="1">
        <v>248.40960185664204</v>
      </c>
      <c r="N9" s="1">
        <v>240.12075267351344</v>
      </c>
      <c r="O9" s="1">
        <v>231.96799652768698</v>
      </c>
      <c r="P9" s="1">
        <v>223.96606063471177</v>
      </c>
      <c r="Q9" s="1">
        <v>216.12790148729306</v>
      </c>
      <c r="R9" s="1">
        <v>208.46455309844288</v>
      </c>
      <c r="S9" s="1">
        <v>200.98499789369561</v>
      </c>
      <c r="T9" s="1">
        <v>193.69606175409172</v>
      </c>
      <c r="U9" s="1">
        <v>186.60233442391274</v>
      </c>
      <c r="V9" s="1">
        <v>179.70611619597639</v>
      </c>
      <c r="W9" s="1">
        <v>173.00739147637091</v>
      </c>
      <c r="X9" s="1">
        <v>166.50382951360913</v>
      </c>
      <c r="Y9" s="1">
        <v>160.19081225810754</v>
      </c>
      <c r="Z9" s="1">
        <v>154.06148900041575</v>
      </c>
      <c r="AA9" s="1">
        <v>148.10685712443012</v>
      </c>
      <c r="AB9" s="1">
        <v>142.31586800849888</v>
      </c>
      <c r="AC9" s="1">
        <v>136.67555681629031</v>
      </c>
      <c r="AD9" s="1">
        <v>131.17119464378038</v>
      </c>
      <c r="AE9" s="1">
        <v>125.78646123174485</v>
      </c>
      <c r="AF9" s="1">
        <v>120.50363621747788</v>
      </c>
      <c r="AG9" s="1">
        <v>115.30380668762018</v>
      </c>
      <c r="AH9" s="1">
        <v>110.16708860818541</v>
      </c>
      <c r="AI9" s="1">
        <v>105.07285955005608</v>
      </c>
      <c r="AJ9" s="1">
        <f>$C$14</f>
        <v>100</v>
      </c>
      <c r="AK9" s="1">
        <v>23</v>
      </c>
    </row>
    <row r="10" spans="1:37">
      <c r="A10" s="7"/>
      <c r="B10" s="5" t="s">
        <v>7</v>
      </c>
      <c r="C10" s="1">
        <v>7800</v>
      </c>
      <c r="F10" s="1">
        <f t="shared" si="0"/>
        <v>7.2413793103448296E-2</v>
      </c>
      <c r="G10" s="1">
        <f>$C$13</f>
        <v>300</v>
      </c>
      <c r="H10" s="1">
        <v>291.27909301931516</v>
      </c>
      <c r="I10" s="1">
        <v>282.57958655170256</v>
      </c>
      <c r="J10" s="1">
        <v>273.92262966563436</v>
      </c>
      <c r="K10" s="1">
        <v>265.32887151373842</v>
      </c>
      <c r="L10" s="1">
        <v>256.81821877222018</v>
      </c>
      <c r="M10" s="1">
        <v>248.4096018566421</v>
      </c>
      <c r="N10" s="1">
        <v>240.12075267351349</v>
      </c>
      <c r="O10" s="1">
        <v>231.96799652768703</v>
      </c>
      <c r="P10" s="1">
        <v>223.96606063471182</v>
      </c>
      <c r="Q10" s="1">
        <v>216.12790148729314</v>
      </c>
      <c r="R10" s="1">
        <v>208.46455309844293</v>
      </c>
      <c r="S10" s="1">
        <v>200.98499789369566</v>
      </c>
      <c r="T10" s="1">
        <v>193.6960617540918</v>
      </c>
      <c r="U10" s="1">
        <v>186.60233442391282</v>
      </c>
      <c r="V10" s="1">
        <v>179.70611619597645</v>
      </c>
      <c r="W10" s="1">
        <v>173.00739147637097</v>
      </c>
      <c r="X10" s="1">
        <v>166.50382951360922</v>
      </c>
      <c r="Y10" s="1">
        <v>160.1908122581076</v>
      </c>
      <c r="Z10" s="1">
        <v>154.0614890004158</v>
      </c>
      <c r="AA10" s="1">
        <v>148.10685712443015</v>
      </c>
      <c r="AB10" s="1">
        <v>142.31586800849891</v>
      </c>
      <c r="AC10" s="1">
        <v>136.67555681629034</v>
      </c>
      <c r="AD10" s="1">
        <v>131.17119464378044</v>
      </c>
      <c r="AE10" s="1">
        <v>125.78646123174488</v>
      </c>
      <c r="AF10" s="1">
        <v>120.5036362174779</v>
      </c>
      <c r="AG10" s="1">
        <v>115.30380668762021</v>
      </c>
      <c r="AH10" s="1">
        <v>110.16708860818544</v>
      </c>
      <c r="AI10" s="1">
        <v>105.07285955005608</v>
      </c>
      <c r="AJ10" s="1">
        <f>$C$14</f>
        <v>100</v>
      </c>
      <c r="AK10" s="1">
        <v>22</v>
      </c>
    </row>
    <row r="11" spans="1:37">
      <c r="A11" s="7"/>
      <c r="B11" s="5" t="s">
        <v>8</v>
      </c>
      <c r="C11" s="1">
        <v>46</v>
      </c>
      <c r="F11" s="1">
        <f t="shared" si="0"/>
        <v>6.8965517241379323E-2</v>
      </c>
      <c r="G11" s="1">
        <f>$C$13</f>
        <v>300</v>
      </c>
      <c r="H11" s="1">
        <v>291.27909301931521</v>
      </c>
      <c r="I11" s="1">
        <v>282.57958655170262</v>
      </c>
      <c r="J11" s="1">
        <v>273.92262966563442</v>
      </c>
      <c r="K11" s="1">
        <v>265.32887151373848</v>
      </c>
      <c r="L11" s="1">
        <v>256.81821877222029</v>
      </c>
      <c r="M11" s="1">
        <v>248.40960185664221</v>
      </c>
      <c r="N11" s="1">
        <v>240.12075267351364</v>
      </c>
      <c r="O11" s="1">
        <v>231.96799652768715</v>
      </c>
      <c r="P11" s="1">
        <v>223.96606063471194</v>
      </c>
      <c r="Q11" s="1">
        <v>216.12790148729323</v>
      </c>
      <c r="R11" s="1">
        <v>208.46455309844305</v>
      </c>
      <c r="S11" s="1">
        <v>200.98499789369578</v>
      </c>
      <c r="T11" s="1">
        <v>193.69606175409191</v>
      </c>
      <c r="U11" s="1">
        <v>186.60233442391294</v>
      </c>
      <c r="V11" s="1">
        <v>179.70611619597656</v>
      </c>
      <c r="W11" s="1">
        <v>173.00739147637105</v>
      </c>
      <c r="X11" s="1">
        <v>166.50382951360928</v>
      </c>
      <c r="Y11" s="1">
        <v>160.19081225810766</v>
      </c>
      <c r="Z11" s="1">
        <v>154.06148900041586</v>
      </c>
      <c r="AA11" s="1">
        <v>148.10685712443023</v>
      </c>
      <c r="AB11" s="1">
        <v>142.315868008499</v>
      </c>
      <c r="AC11" s="1">
        <v>136.6755568162904</v>
      </c>
      <c r="AD11" s="1">
        <v>131.1711946437805</v>
      </c>
      <c r="AE11" s="1">
        <v>125.78646123174494</v>
      </c>
      <c r="AF11" s="1">
        <v>120.50363621747795</v>
      </c>
      <c r="AG11" s="1">
        <v>115.30380668762027</v>
      </c>
      <c r="AH11" s="1">
        <v>110.16708860818548</v>
      </c>
      <c r="AI11" s="1">
        <v>105.07285955005611</v>
      </c>
      <c r="AJ11" s="1">
        <f>$C$14</f>
        <v>100</v>
      </c>
      <c r="AK11" s="1">
        <v>21</v>
      </c>
    </row>
    <row r="12" spans="1:37">
      <c r="F12" s="1">
        <f t="shared" si="0"/>
        <v>6.5517241379310351E-2</v>
      </c>
      <c r="G12" s="1">
        <f>$C$13</f>
        <v>300</v>
      </c>
      <c r="H12" s="1">
        <v>291.27909301931527</v>
      </c>
      <c r="I12" s="1">
        <v>282.57958655170273</v>
      </c>
      <c r="J12" s="1">
        <v>273.92262966563453</v>
      </c>
      <c r="K12" s="1">
        <v>265.32887151373859</v>
      </c>
      <c r="L12" s="1">
        <v>256.81821877222046</v>
      </c>
      <c r="M12" s="1">
        <v>248.40960185664233</v>
      </c>
      <c r="N12" s="1">
        <v>240.12075267351378</v>
      </c>
      <c r="O12" s="1">
        <v>231.96799652768726</v>
      </c>
      <c r="P12" s="1">
        <v>223.96606063471205</v>
      </c>
      <c r="Q12" s="1">
        <v>216.12790148729334</v>
      </c>
      <c r="R12" s="1">
        <v>208.46455309844316</v>
      </c>
      <c r="S12" s="1">
        <v>200.98499789369589</v>
      </c>
      <c r="T12" s="1">
        <v>193.69606175409203</v>
      </c>
      <c r="U12" s="1">
        <v>186.60233442391302</v>
      </c>
      <c r="V12" s="1">
        <v>179.70611619597665</v>
      </c>
      <c r="W12" s="1">
        <v>173.00739147637117</v>
      </c>
      <c r="X12" s="1">
        <v>166.50382951360939</v>
      </c>
      <c r="Y12" s="1">
        <v>160.19081225810777</v>
      </c>
      <c r="Z12" s="1">
        <v>154.06148900041597</v>
      </c>
      <c r="AA12" s="1">
        <v>148.10685712443032</v>
      </c>
      <c r="AB12" s="1">
        <v>142.31586800849908</v>
      </c>
      <c r="AC12" s="1">
        <v>136.67555681629048</v>
      </c>
      <c r="AD12" s="1">
        <v>131.17119464378055</v>
      </c>
      <c r="AE12" s="1">
        <v>125.78646123174499</v>
      </c>
      <c r="AF12" s="1">
        <v>120.50363621747802</v>
      </c>
      <c r="AG12" s="1">
        <v>115.30380668762029</v>
      </c>
      <c r="AH12" s="1">
        <v>110.16708860818551</v>
      </c>
      <c r="AI12" s="1">
        <v>105.07285955005614</v>
      </c>
      <c r="AJ12" s="1">
        <f>$C$14</f>
        <v>100</v>
      </c>
      <c r="AK12" s="1">
        <v>20</v>
      </c>
    </row>
    <row r="13" spans="1:37">
      <c r="A13" s="7" t="s">
        <v>26</v>
      </c>
      <c r="B13" s="5" t="s">
        <v>9</v>
      </c>
      <c r="C13" s="1">
        <v>300</v>
      </c>
      <c r="F13" s="1">
        <f t="shared" si="0"/>
        <v>6.2068965517241385E-2</v>
      </c>
      <c r="G13" s="1">
        <f>$C$13</f>
        <v>300</v>
      </c>
      <c r="H13" s="1">
        <v>291.27909301931527</v>
      </c>
      <c r="I13" s="1">
        <v>282.57958655170279</v>
      </c>
      <c r="J13" s="1">
        <v>273.92262966563464</v>
      </c>
      <c r="K13" s="1">
        <v>265.32887151373865</v>
      </c>
      <c r="L13" s="1">
        <v>256.81821877222052</v>
      </c>
      <c r="M13" s="1">
        <v>248.40960185664244</v>
      </c>
      <c r="N13" s="1">
        <v>240.12075267351386</v>
      </c>
      <c r="O13" s="1">
        <v>231.96799652768738</v>
      </c>
      <c r="P13" s="1">
        <v>223.96606063471214</v>
      </c>
      <c r="Q13" s="1">
        <v>216.12790148729346</v>
      </c>
      <c r="R13" s="1">
        <v>208.46455309844322</v>
      </c>
      <c r="S13" s="1">
        <v>200.984997893696</v>
      </c>
      <c r="T13" s="1">
        <v>193.69606175409211</v>
      </c>
      <c r="U13" s="1">
        <v>186.60233442391311</v>
      </c>
      <c r="V13" s="1">
        <v>179.70611619597673</v>
      </c>
      <c r="W13" s="1">
        <v>173.0073914763712</v>
      </c>
      <c r="X13" s="1">
        <v>166.50382951360945</v>
      </c>
      <c r="Y13" s="1">
        <v>160.19081225810783</v>
      </c>
      <c r="Z13" s="1">
        <v>154.06148900041603</v>
      </c>
      <c r="AA13" s="1">
        <v>148.10685712443038</v>
      </c>
      <c r="AB13" s="1">
        <v>142.31586800849914</v>
      </c>
      <c r="AC13" s="1">
        <v>136.67555681629054</v>
      </c>
      <c r="AD13" s="1">
        <v>131.17119464378058</v>
      </c>
      <c r="AE13" s="1">
        <v>125.78646123174505</v>
      </c>
      <c r="AF13" s="1">
        <v>120.50363621747806</v>
      </c>
      <c r="AG13" s="1">
        <v>115.30380668762032</v>
      </c>
      <c r="AH13" s="1">
        <v>110.16708860818554</v>
      </c>
      <c r="AI13" s="1">
        <v>105.07285955005617</v>
      </c>
      <c r="AJ13" s="1">
        <f>$C$14</f>
        <v>100</v>
      </c>
      <c r="AK13" s="1">
        <v>19</v>
      </c>
    </row>
    <row r="14" spans="1:37">
      <c r="A14" s="7"/>
      <c r="B14" s="5" t="s">
        <v>10</v>
      </c>
      <c r="C14" s="1">
        <v>100</v>
      </c>
      <c r="F14" s="1">
        <f t="shared" si="0"/>
        <v>5.862068965517242E-2</v>
      </c>
      <c r="G14" s="1">
        <f>$C$13</f>
        <v>300</v>
      </c>
      <c r="H14" s="1">
        <v>291.27909301931527</v>
      </c>
      <c r="I14" s="1">
        <v>282.57958655170279</v>
      </c>
      <c r="J14" s="1">
        <v>273.92262966563464</v>
      </c>
      <c r="K14" s="1">
        <v>265.32887151373865</v>
      </c>
      <c r="L14" s="1">
        <v>256.81821877222052</v>
      </c>
      <c r="M14" s="1">
        <v>248.40960185664247</v>
      </c>
      <c r="N14" s="1">
        <v>240.12075267351389</v>
      </c>
      <c r="O14" s="1">
        <v>231.96799652768738</v>
      </c>
      <c r="P14" s="1">
        <v>223.96606063471216</v>
      </c>
      <c r="Q14" s="1">
        <v>216.12790148729351</v>
      </c>
      <c r="R14" s="1">
        <v>208.46455309844328</v>
      </c>
      <c r="S14" s="1">
        <v>200.984997893696</v>
      </c>
      <c r="T14" s="1">
        <v>193.69606175409214</v>
      </c>
      <c r="U14" s="1">
        <v>186.60233442391313</v>
      </c>
      <c r="V14" s="1">
        <v>179.70611619597679</v>
      </c>
      <c r="W14" s="1">
        <v>173.00739147637125</v>
      </c>
      <c r="X14" s="1">
        <v>166.5038295136095</v>
      </c>
      <c r="Y14" s="1">
        <v>160.19081225810785</v>
      </c>
      <c r="Z14" s="1">
        <v>154.06148900041606</v>
      </c>
      <c r="AA14" s="1">
        <v>148.10685712443041</v>
      </c>
      <c r="AB14" s="1">
        <v>142.31586800849917</v>
      </c>
      <c r="AC14" s="1">
        <v>136.67555681629057</v>
      </c>
      <c r="AD14" s="1">
        <v>131.17119464378058</v>
      </c>
      <c r="AE14" s="1">
        <v>125.78646123174505</v>
      </c>
      <c r="AF14" s="1">
        <v>120.50363621747806</v>
      </c>
      <c r="AG14" s="1">
        <v>115.30380668762032</v>
      </c>
      <c r="AH14" s="1">
        <v>110.16708860818554</v>
      </c>
      <c r="AI14" s="1">
        <v>105.07285955005617</v>
      </c>
      <c r="AJ14" s="1">
        <f>$C$14</f>
        <v>100</v>
      </c>
      <c r="AK14" s="1">
        <v>18</v>
      </c>
    </row>
    <row r="15" spans="1:37">
      <c r="F15" s="1">
        <f t="shared" si="0"/>
        <v>5.5172413793103454E-2</v>
      </c>
      <c r="G15" s="1">
        <f>$C$13</f>
        <v>300</v>
      </c>
      <c r="H15" s="1">
        <v>291.27909301931521</v>
      </c>
      <c r="I15" s="1">
        <v>282.57958655170273</v>
      </c>
      <c r="J15" s="1">
        <v>273.92262966563464</v>
      </c>
      <c r="K15" s="1">
        <v>265.3288715137387</v>
      </c>
      <c r="L15" s="1">
        <v>256.81821877222052</v>
      </c>
      <c r="M15" s="1">
        <v>248.40960185664244</v>
      </c>
      <c r="N15" s="1">
        <v>240.12075267351389</v>
      </c>
      <c r="O15" s="1">
        <v>231.96799652768738</v>
      </c>
      <c r="P15" s="1">
        <v>223.96606063471216</v>
      </c>
      <c r="Q15" s="1">
        <v>216.12790148729351</v>
      </c>
      <c r="R15" s="1">
        <v>208.46455309844328</v>
      </c>
      <c r="S15" s="1">
        <v>200.98499789369603</v>
      </c>
      <c r="T15" s="1">
        <v>193.69606175409217</v>
      </c>
      <c r="U15" s="1">
        <v>186.60233442391313</v>
      </c>
      <c r="V15" s="1">
        <v>179.70611619597679</v>
      </c>
      <c r="W15" s="1">
        <v>173.00739147637125</v>
      </c>
      <c r="X15" s="1">
        <v>166.5038295136095</v>
      </c>
      <c r="Y15" s="1">
        <v>160.19081225810788</v>
      </c>
      <c r="Z15" s="1">
        <v>154.06148900041609</v>
      </c>
      <c r="AA15" s="1">
        <v>148.10685712443041</v>
      </c>
      <c r="AB15" s="1">
        <v>142.31586800849917</v>
      </c>
      <c r="AC15" s="1">
        <v>136.67555681629057</v>
      </c>
      <c r="AD15" s="1">
        <v>131.17119464378058</v>
      </c>
      <c r="AE15" s="1">
        <v>125.78646123174505</v>
      </c>
      <c r="AF15" s="1">
        <v>120.50363621747806</v>
      </c>
      <c r="AG15" s="1">
        <v>115.30380668762032</v>
      </c>
      <c r="AH15" s="1">
        <v>110.16708860818551</v>
      </c>
      <c r="AI15" s="1">
        <v>105.07285955005617</v>
      </c>
      <c r="AJ15" s="1">
        <f>$C$14</f>
        <v>100</v>
      </c>
      <c r="AK15" s="1">
        <v>17</v>
      </c>
    </row>
    <row r="16" spans="1:37">
      <c r="A16" s="8" t="s">
        <v>11</v>
      </c>
      <c r="B16" s="5" t="s">
        <v>12</v>
      </c>
      <c r="C16" s="1">
        <f>C11/C4^2</f>
        <v>3868599.9999999991</v>
      </c>
      <c r="F16" s="1">
        <f t="shared" si="0"/>
        <v>5.1724137931034489E-2</v>
      </c>
      <c r="G16" s="1">
        <f>$C$13</f>
        <v>300</v>
      </c>
      <c r="H16" s="1">
        <v>291.27909301931527</v>
      </c>
      <c r="I16" s="1">
        <v>282.57958655170273</v>
      </c>
      <c r="J16" s="1">
        <v>273.92262966563464</v>
      </c>
      <c r="K16" s="1">
        <v>265.3288715137387</v>
      </c>
      <c r="L16" s="1">
        <v>256.81821877222058</v>
      </c>
      <c r="M16" s="1">
        <v>248.4096018566425</v>
      </c>
      <c r="N16" s="1">
        <v>240.12075267351392</v>
      </c>
      <c r="O16" s="1">
        <v>231.96799652768743</v>
      </c>
      <c r="P16" s="1">
        <v>223.96606063471222</v>
      </c>
      <c r="Q16" s="1">
        <v>216.12790148729357</v>
      </c>
      <c r="R16" s="1">
        <v>208.46455309844336</v>
      </c>
      <c r="S16" s="1">
        <v>200.98499789369609</v>
      </c>
      <c r="T16" s="1">
        <v>193.69606175409223</v>
      </c>
      <c r="U16" s="1">
        <v>186.60233442391319</v>
      </c>
      <c r="V16" s="1">
        <v>179.70611619597682</v>
      </c>
      <c r="W16" s="1">
        <v>173.00739147637131</v>
      </c>
      <c r="X16" s="1">
        <v>166.50382951360956</v>
      </c>
      <c r="Y16" s="1">
        <v>160.19081225810794</v>
      </c>
      <c r="Z16" s="1">
        <v>154.06148900041612</v>
      </c>
      <c r="AA16" s="1">
        <v>148.10685712443043</v>
      </c>
      <c r="AB16" s="1">
        <v>142.31586800849919</v>
      </c>
      <c r="AC16" s="1">
        <v>136.67555681629059</v>
      </c>
      <c r="AD16" s="1">
        <v>131.17119464378061</v>
      </c>
      <c r="AE16" s="1">
        <v>125.78646123174508</v>
      </c>
      <c r="AF16" s="1">
        <v>120.50363621747807</v>
      </c>
      <c r="AG16" s="1">
        <v>115.30380668762032</v>
      </c>
      <c r="AH16" s="1">
        <v>110.16708860818554</v>
      </c>
      <c r="AI16" s="1">
        <v>105.07285955005617</v>
      </c>
      <c r="AJ16" s="1">
        <f>$C$14</f>
        <v>100</v>
      </c>
      <c r="AK16" s="1">
        <v>16</v>
      </c>
    </row>
    <row r="17" spans="1:37">
      <c r="A17" s="8"/>
      <c r="B17" s="5" t="s">
        <v>13</v>
      </c>
      <c r="C17" s="1">
        <f>2*C11/C4^2+C10*C9/C7</f>
        <v>11325199.999999998</v>
      </c>
      <c r="F17" s="1">
        <f t="shared" si="0"/>
        <v>4.8275862068965524E-2</v>
      </c>
      <c r="G17" s="1">
        <f>$C$13</f>
        <v>300</v>
      </c>
      <c r="H17" s="1">
        <v>291.27909301931527</v>
      </c>
      <c r="I17" s="1">
        <v>282.57958655170273</v>
      </c>
      <c r="J17" s="1">
        <v>273.92262966563464</v>
      </c>
      <c r="K17" s="1">
        <v>265.3288715137387</v>
      </c>
      <c r="L17" s="1">
        <v>256.81821877222063</v>
      </c>
      <c r="M17" s="1">
        <v>248.4096018566425</v>
      </c>
      <c r="N17" s="1">
        <v>240.12075267351395</v>
      </c>
      <c r="O17" s="1">
        <v>231.96799652768743</v>
      </c>
      <c r="P17" s="1">
        <v>223.96606063471228</v>
      </c>
      <c r="Q17" s="1">
        <v>216.12790148729357</v>
      </c>
      <c r="R17" s="1">
        <v>208.46455309844339</v>
      </c>
      <c r="S17" s="1">
        <v>200.98499789369612</v>
      </c>
      <c r="T17" s="1">
        <v>193.69606175409223</v>
      </c>
      <c r="U17" s="1">
        <v>186.60233442391322</v>
      </c>
      <c r="V17" s="1">
        <v>179.70611619597685</v>
      </c>
      <c r="W17" s="1">
        <v>173.00739147637137</v>
      </c>
      <c r="X17" s="1">
        <v>166.50382951360956</v>
      </c>
      <c r="Y17" s="1">
        <v>160.19081225810797</v>
      </c>
      <c r="Z17" s="1">
        <v>154.06148900041615</v>
      </c>
      <c r="AA17" s="1">
        <v>148.10685712443046</v>
      </c>
      <c r="AB17" s="1">
        <v>142.31586800849919</v>
      </c>
      <c r="AC17" s="1">
        <v>136.67555681629062</v>
      </c>
      <c r="AD17" s="1">
        <v>131.17119464378061</v>
      </c>
      <c r="AE17" s="1">
        <v>125.78646123174508</v>
      </c>
      <c r="AF17" s="1">
        <v>120.50363621747807</v>
      </c>
      <c r="AG17" s="1">
        <v>115.30380668762035</v>
      </c>
      <c r="AH17" s="1">
        <v>110.16708860818554</v>
      </c>
      <c r="AI17" s="1">
        <v>105.07285955005617</v>
      </c>
      <c r="AJ17" s="1">
        <f>$C$14</f>
        <v>100</v>
      </c>
      <c r="AK17" s="1">
        <v>15</v>
      </c>
    </row>
    <row r="18" spans="1:37">
      <c r="A18" s="8"/>
      <c r="B18" s="5" t="s">
        <v>14</v>
      </c>
      <c r="C18" s="1">
        <f>C16</f>
        <v>3868599.9999999991</v>
      </c>
      <c r="F18" s="1">
        <f t="shared" si="0"/>
        <v>4.4827586206896558E-2</v>
      </c>
      <c r="G18" s="1">
        <f>$C$13</f>
        <v>300</v>
      </c>
      <c r="H18" s="1">
        <v>291.27909301931521</v>
      </c>
      <c r="I18" s="1">
        <v>282.57958655170273</v>
      </c>
      <c r="J18" s="1">
        <v>273.92262966563464</v>
      </c>
      <c r="K18" s="1">
        <v>265.3288715137387</v>
      </c>
      <c r="L18" s="1">
        <v>256.81821877222058</v>
      </c>
      <c r="M18" s="1">
        <v>248.4096018566425</v>
      </c>
      <c r="N18" s="1">
        <v>240.12075267351395</v>
      </c>
      <c r="O18" s="1">
        <v>231.96799652768743</v>
      </c>
      <c r="P18" s="1">
        <v>223.96606063471225</v>
      </c>
      <c r="Q18" s="1">
        <v>216.12790148729357</v>
      </c>
      <c r="R18" s="1">
        <v>208.46455309844339</v>
      </c>
      <c r="S18" s="1">
        <v>200.98499789369612</v>
      </c>
      <c r="T18" s="1">
        <v>193.69606175409223</v>
      </c>
      <c r="U18" s="1">
        <v>186.60233442391322</v>
      </c>
      <c r="V18" s="1">
        <v>179.70611619597685</v>
      </c>
      <c r="W18" s="1">
        <v>173.00739147637137</v>
      </c>
      <c r="X18" s="1">
        <v>166.50382951360956</v>
      </c>
      <c r="Y18" s="1">
        <v>160.19081225810794</v>
      </c>
      <c r="Z18" s="1">
        <v>154.06148900041615</v>
      </c>
      <c r="AA18" s="1">
        <v>148.10685712443046</v>
      </c>
      <c r="AB18" s="1">
        <v>142.31586800849922</v>
      </c>
      <c r="AC18" s="1">
        <v>136.67555681629059</v>
      </c>
      <c r="AD18" s="1">
        <v>131.17119464378061</v>
      </c>
      <c r="AE18" s="1">
        <v>125.78646123174508</v>
      </c>
      <c r="AF18" s="1">
        <v>120.50363621747807</v>
      </c>
      <c r="AG18" s="1">
        <v>115.30380668762035</v>
      </c>
      <c r="AH18" s="1">
        <v>110.16708860818554</v>
      </c>
      <c r="AI18" s="1">
        <v>105.07285955005617</v>
      </c>
      <c r="AJ18" s="1">
        <f>$C$14</f>
        <v>100</v>
      </c>
      <c r="AK18" s="1">
        <v>14</v>
      </c>
    </row>
    <row r="19" spans="1:37">
      <c r="F19" s="1">
        <f t="shared" si="0"/>
        <v>4.1379310344827593E-2</v>
      </c>
      <c r="G19" s="1">
        <f>$C$13</f>
        <v>300</v>
      </c>
      <c r="H19" s="1">
        <v>291.27909301931516</v>
      </c>
      <c r="I19" s="1">
        <v>282.57958655170273</v>
      </c>
      <c r="J19" s="1">
        <v>273.92262966563464</v>
      </c>
      <c r="K19" s="1">
        <v>265.3288715137387</v>
      </c>
      <c r="L19" s="1">
        <v>256.81821877222058</v>
      </c>
      <c r="M19" s="1">
        <v>248.4096018566425</v>
      </c>
      <c r="N19" s="1">
        <v>240.12075267351389</v>
      </c>
      <c r="O19" s="1">
        <v>231.96799652768743</v>
      </c>
      <c r="P19" s="1">
        <v>223.96606063471222</v>
      </c>
      <c r="Q19" s="1">
        <v>216.12790148729357</v>
      </c>
      <c r="R19" s="1">
        <v>208.46455309844339</v>
      </c>
      <c r="S19" s="1">
        <v>200.98499789369612</v>
      </c>
      <c r="T19" s="1">
        <v>193.69606175409223</v>
      </c>
      <c r="U19" s="1">
        <v>186.60233442391319</v>
      </c>
      <c r="V19" s="1">
        <v>179.70611619597682</v>
      </c>
      <c r="W19" s="1">
        <v>173.00739147637137</v>
      </c>
      <c r="X19" s="1">
        <v>166.50382951360956</v>
      </c>
      <c r="Y19" s="1">
        <v>160.19081225810794</v>
      </c>
      <c r="Z19" s="1">
        <v>154.06148900041612</v>
      </c>
      <c r="AA19" s="1">
        <v>148.10685712443043</v>
      </c>
      <c r="AB19" s="1">
        <v>142.31586800849919</v>
      </c>
      <c r="AC19" s="1">
        <v>136.67555681629059</v>
      </c>
      <c r="AD19" s="1">
        <v>131.17119464378061</v>
      </c>
      <c r="AE19" s="1">
        <v>125.78646123174508</v>
      </c>
      <c r="AF19" s="1">
        <v>120.50363621747806</v>
      </c>
      <c r="AG19" s="1">
        <v>115.30380668762035</v>
      </c>
      <c r="AH19" s="1">
        <v>110.16708860818554</v>
      </c>
      <c r="AI19" s="1">
        <v>105.07285955005615</v>
      </c>
      <c r="AJ19" s="1">
        <f>$C$14</f>
        <v>100</v>
      </c>
      <c r="AK19" s="1">
        <v>13</v>
      </c>
    </row>
    <row r="20" spans="1:37">
      <c r="A20" s="7" t="s">
        <v>15</v>
      </c>
      <c r="B20" s="5" t="s">
        <v>12</v>
      </c>
      <c r="C20" s="1">
        <f>C11/C5^2</f>
        <v>3868599.9999999991</v>
      </c>
      <c r="F20" s="1">
        <f t="shared" si="0"/>
        <v>3.7931034482758627E-2</v>
      </c>
      <c r="G20" s="1">
        <f>$C$13</f>
        <v>300</v>
      </c>
      <c r="H20" s="1">
        <v>291.27909301931516</v>
      </c>
      <c r="I20" s="1">
        <v>282.57958655170273</v>
      </c>
      <c r="J20" s="1">
        <v>273.92262966563459</v>
      </c>
      <c r="K20" s="1">
        <v>265.3288715137387</v>
      </c>
      <c r="L20" s="1">
        <v>256.81821877222052</v>
      </c>
      <c r="M20" s="1">
        <v>248.4096018566425</v>
      </c>
      <c r="N20" s="1">
        <v>240.12075267351389</v>
      </c>
      <c r="O20" s="1">
        <v>231.96799652768743</v>
      </c>
      <c r="P20" s="1">
        <v>223.96606063471219</v>
      </c>
      <c r="Q20" s="1">
        <v>216.12790148729357</v>
      </c>
      <c r="R20" s="1">
        <v>208.46455309844339</v>
      </c>
      <c r="S20" s="1">
        <v>200.98499789369612</v>
      </c>
      <c r="T20" s="1">
        <v>193.69606175409226</v>
      </c>
      <c r="U20" s="1">
        <v>186.60233442391319</v>
      </c>
      <c r="V20" s="1">
        <v>179.70611619597679</v>
      </c>
      <c r="W20" s="1">
        <v>173.00739147637137</v>
      </c>
      <c r="X20" s="1">
        <v>166.50382951360956</v>
      </c>
      <c r="Y20" s="1">
        <v>160.19081225810794</v>
      </c>
      <c r="Z20" s="1">
        <v>154.06148900041612</v>
      </c>
      <c r="AA20" s="1">
        <v>148.10685712443046</v>
      </c>
      <c r="AB20" s="1">
        <v>142.31586800849919</v>
      </c>
      <c r="AC20" s="1">
        <v>136.67555681629057</v>
      </c>
      <c r="AD20" s="1">
        <v>131.17119464378061</v>
      </c>
      <c r="AE20" s="1">
        <v>125.78646123174506</v>
      </c>
      <c r="AF20" s="1">
        <v>120.50363621747806</v>
      </c>
      <c r="AG20" s="1">
        <v>115.30380668762035</v>
      </c>
      <c r="AH20" s="1">
        <v>110.16708860818554</v>
      </c>
      <c r="AI20" s="1">
        <v>105.07285955005617</v>
      </c>
      <c r="AJ20" s="1">
        <f>$C$14</f>
        <v>100</v>
      </c>
      <c r="AK20" s="1">
        <v>12</v>
      </c>
    </row>
    <row r="21" spans="1:37">
      <c r="A21" s="7"/>
      <c r="B21" s="5" t="s">
        <v>13</v>
      </c>
      <c r="C21" s="1">
        <f>2*C11/C5^2+C10*C9/C7</f>
        <v>11325199.999999998</v>
      </c>
      <c r="F21" s="1">
        <f t="shared" si="0"/>
        <v>3.4482758620689662E-2</v>
      </c>
      <c r="G21" s="1">
        <f>$C$13</f>
        <v>300</v>
      </c>
      <c r="H21" s="1">
        <v>291.27909301931521</v>
      </c>
      <c r="I21" s="1">
        <v>282.57958655170279</v>
      </c>
      <c r="J21" s="1">
        <v>273.92262966563464</v>
      </c>
      <c r="K21" s="1">
        <v>265.3288715137387</v>
      </c>
      <c r="L21" s="1">
        <v>256.81821877222046</v>
      </c>
      <c r="M21" s="1">
        <v>248.40960185664247</v>
      </c>
      <c r="N21" s="1">
        <v>240.12075267351389</v>
      </c>
      <c r="O21" s="1">
        <v>231.96799652768743</v>
      </c>
      <c r="P21" s="1">
        <v>223.96606063471222</v>
      </c>
      <c r="Q21" s="1">
        <v>216.12790148729357</v>
      </c>
      <c r="R21" s="1">
        <v>208.46455309844339</v>
      </c>
      <c r="S21" s="1">
        <v>200.98499789369612</v>
      </c>
      <c r="T21" s="1">
        <v>193.69606175409226</v>
      </c>
      <c r="U21" s="1">
        <v>186.60233442391319</v>
      </c>
      <c r="V21" s="1">
        <v>179.70611619597682</v>
      </c>
      <c r="W21" s="1">
        <v>173.00739147637137</v>
      </c>
      <c r="X21" s="1">
        <v>166.50382951360956</v>
      </c>
      <c r="Y21" s="1">
        <v>160.19081225810794</v>
      </c>
      <c r="Z21" s="1">
        <v>154.06148900041615</v>
      </c>
      <c r="AA21" s="1">
        <v>148.10685712443046</v>
      </c>
      <c r="AB21" s="1">
        <v>142.31586800849919</v>
      </c>
      <c r="AC21" s="1">
        <v>136.67555681629059</v>
      </c>
      <c r="AD21" s="1">
        <v>131.17119464378061</v>
      </c>
      <c r="AE21" s="1">
        <v>125.78646123174508</v>
      </c>
      <c r="AF21" s="1">
        <v>120.50363621747806</v>
      </c>
      <c r="AG21" s="1">
        <v>115.30380668762035</v>
      </c>
      <c r="AH21" s="1">
        <v>110.16708860818555</v>
      </c>
      <c r="AI21" s="1">
        <v>105.07285955005617</v>
      </c>
      <c r="AJ21" s="1">
        <f>$C$14</f>
        <v>100</v>
      </c>
      <c r="AK21" s="1">
        <v>11</v>
      </c>
    </row>
    <row r="22" spans="1:37">
      <c r="A22" s="7"/>
      <c r="B22" s="5" t="s">
        <v>14</v>
      </c>
      <c r="C22" s="1">
        <f>C20</f>
        <v>3868599.9999999991</v>
      </c>
      <c r="F22" s="1">
        <f t="shared" si="0"/>
        <v>3.1034482758620693E-2</v>
      </c>
      <c r="G22" s="1">
        <f>$C$13</f>
        <v>300</v>
      </c>
      <c r="H22" s="1">
        <v>291.27909301931521</v>
      </c>
      <c r="I22" s="1">
        <v>282.57958655170279</v>
      </c>
      <c r="J22" s="1">
        <v>273.92262966563464</v>
      </c>
      <c r="K22" s="1">
        <v>265.3288715137387</v>
      </c>
      <c r="L22" s="1">
        <v>256.81821877222046</v>
      </c>
      <c r="M22" s="1">
        <v>248.40960185664244</v>
      </c>
      <c r="N22" s="1">
        <v>240.12075267351389</v>
      </c>
      <c r="O22" s="1">
        <v>231.96799652768743</v>
      </c>
      <c r="P22" s="1">
        <v>223.96606063471222</v>
      </c>
      <c r="Q22" s="1">
        <v>216.12790148729354</v>
      </c>
      <c r="R22" s="1">
        <v>208.46455309844336</v>
      </c>
      <c r="S22" s="1">
        <v>200.98499789369612</v>
      </c>
      <c r="T22" s="1">
        <v>193.69606175409223</v>
      </c>
      <c r="U22" s="1">
        <v>186.60233442391319</v>
      </c>
      <c r="V22" s="1">
        <v>179.70611619597679</v>
      </c>
      <c r="W22" s="1">
        <v>173.00739147637134</v>
      </c>
      <c r="X22" s="1">
        <v>166.50382951360956</v>
      </c>
      <c r="Y22" s="1">
        <v>160.19081225810794</v>
      </c>
      <c r="Z22" s="1">
        <v>154.06148900041615</v>
      </c>
      <c r="AA22" s="1">
        <v>148.10685712443046</v>
      </c>
      <c r="AB22" s="1">
        <v>142.31586800849919</v>
      </c>
      <c r="AC22" s="1">
        <v>136.67555681629059</v>
      </c>
      <c r="AD22" s="1">
        <v>131.17119464378061</v>
      </c>
      <c r="AE22" s="1">
        <v>125.78646123174508</v>
      </c>
      <c r="AF22" s="1">
        <v>120.50363621747806</v>
      </c>
      <c r="AG22" s="1">
        <v>115.30380668762032</v>
      </c>
      <c r="AH22" s="1">
        <v>110.16708860818555</v>
      </c>
      <c r="AI22" s="1">
        <v>105.07285955005617</v>
      </c>
      <c r="AJ22" s="1">
        <f>$C$14</f>
        <v>100</v>
      </c>
      <c r="AK22" s="1">
        <v>10</v>
      </c>
    </row>
    <row r="23" spans="1:37">
      <c r="F23" s="1">
        <f t="shared" si="0"/>
        <v>2.7586206896551727E-2</v>
      </c>
      <c r="G23" s="1">
        <f>$C$13</f>
        <v>300</v>
      </c>
      <c r="H23" s="1">
        <v>291.27909301931521</v>
      </c>
      <c r="I23" s="1">
        <v>282.57958655170273</v>
      </c>
      <c r="J23" s="1">
        <v>273.92262966563464</v>
      </c>
      <c r="K23" s="1">
        <v>265.32887151373865</v>
      </c>
      <c r="L23" s="1">
        <v>256.81821877222046</v>
      </c>
      <c r="M23" s="1">
        <v>248.40960185664238</v>
      </c>
      <c r="N23" s="1">
        <v>240.12075267351386</v>
      </c>
      <c r="O23" s="1">
        <v>231.96799652768735</v>
      </c>
      <c r="P23" s="1">
        <v>223.96606063471216</v>
      </c>
      <c r="Q23" s="1">
        <v>216.12790148729346</v>
      </c>
      <c r="R23" s="1">
        <v>208.46455309844328</v>
      </c>
      <c r="S23" s="1">
        <v>200.98499789369606</v>
      </c>
      <c r="T23" s="1">
        <v>193.69606175409217</v>
      </c>
      <c r="U23" s="1">
        <v>186.60233442391313</v>
      </c>
      <c r="V23" s="1">
        <v>179.70611619597679</v>
      </c>
      <c r="W23" s="1">
        <v>173.00739147637131</v>
      </c>
      <c r="X23" s="1">
        <v>166.5038295136095</v>
      </c>
      <c r="Y23" s="1">
        <v>160.19081225810791</v>
      </c>
      <c r="Z23" s="1">
        <v>154.06148900041612</v>
      </c>
      <c r="AA23" s="1">
        <v>148.10685712443046</v>
      </c>
      <c r="AB23" s="1">
        <v>142.31586800849919</v>
      </c>
      <c r="AC23" s="1">
        <v>136.67555681629059</v>
      </c>
      <c r="AD23" s="1">
        <v>131.17119464378061</v>
      </c>
      <c r="AE23" s="1">
        <v>125.78646123174505</v>
      </c>
      <c r="AF23" s="1">
        <v>120.50363621747806</v>
      </c>
      <c r="AG23" s="1">
        <v>115.30380668762031</v>
      </c>
      <c r="AH23" s="1">
        <v>110.16708860818554</v>
      </c>
      <c r="AI23" s="1">
        <v>105.07285955005615</v>
      </c>
      <c r="AJ23" s="1">
        <f>$C$14</f>
        <v>100</v>
      </c>
      <c r="AK23" s="1">
        <v>9</v>
      </c>
    </row>
    <row r="24" spans="1:37">
      <c r="F24" s="1">
        <f t="shared" si="0"/>
        <v>2.4137931034482762E-2</v>
      </c>
      <c r="G24" s="1">
        <f>$C$13</f>
        <v>300</v>
      </c>
      <c r="H24" s="1">
        <v>291.27909301931521</v>
      </c>
      <c r="I24" s="1">
        <v>282.57958655170268</v>
      </c>
      <c r="J24" s="1">
        <v>273.92262966563459</v>
      </c>
      <c r="K24" s="1">
        <v>265.32887151373859</v>
      </c>
      <c r="L24" s="1">
        <v>256.8182187722204</v>
      </c>
      <c r="M24" s="1">
        <v>248.40960185664233</v>
      </c>
      <c r="N24" s="1">
        <v>240.12075267351383</v>
      </c>
      <c r="O24" s="1">
        <v>231.96799652768732</v>
      </c>
      <c r="P24" s="1">
        <v>223.96606063471211</v>
      </c>
      <c r="Q24" s="1">
        <v>216.1279014872934</v>
      </c>
      <c r="R24" s="1">
        <v>208.46455309844325</v>
      </c>
      <c r="S24" s="1">
        <v>200.984997893696</v>
      </c>
      <c r="T24" s="1">
        <v>193.69606175409211</v>
      </c>
      <c r="U24" s="1">
        <v>186.60233442391313</v>
      </c>
      <c r="V24" s="1">
        <v>179.70611619597679</v>
      </c>
      <c r="W24" s="1">
        <v>173.00739147637125</v>
      </c>
      <c r="X24" s="1">
        <v>166.5038295136095</v>
      </c>
      <c r="Y24" s="1">
        <v>160.19081225810788</v>
      </c>
      <c r="Z24" s="1">
        <v>154.06148900041609</v>
      </c>
      <c r="AA24" s="1">
        <v>148.10685712443043</v>
      </c>
      <c r="AB24" s="1">
        <v>142.31586800849919</v>
      </c>
      <c r="AC24" s="1">
        <v>136.67555681629059</v>
      </c>
      <c r="AD24" s="1">
        <v>131.17119464378061</v>
      </c>
      <c r="AE24" s="1">
        <v>125.78646123174505</v>
      </c>
      <c r="AF24" s="1">
        <v>120.50363621747803</v>
      </c>
      <c r="AG24" s="1">
        <v>115.30380668762031</v>
      </c>
      <c r="AH24" s="1">
        <v>110.16708860818554</v>
      </c>
      <c r="AI24" s="1">
        <v>105.07285955005614</v>
      </c>
      <c r="AJ24" s="1">
        <f>$C$14</f>
        <v>100</v>
      </c>
      <c r="AK24" s="1">
        <v>8</v>
      </c>
    </row>
    <row r="25" spans="1:37">
      <c r="F25" s="1">
        <f t="shared" si="0"/>
        <v>2.0689655172413796E-2</v>
      </c>
      <c r="G25" s="1">
        <f>$C$13</f>
        <v>300</v>
      </c>
      <c r="H25" s="1">
        <v>291.27909301931516</v>
      </c>
      <c r="I25" s="1">
        <v>282.57958655170262</v>
      </c>
      <c r="J25" s="1">
        <v>273.92262966563453</v>
      </c>
      <c r="K25" s="1">
        <v>265.32887151373859</v>
      </c>
      <c r="L25" s="1">
        <v>256.81821877222035</v>
      </c>
      <c r="M25" s="1">
        <v>248.40960185664227</v>
      </c>
      <c r="N25" s="1">
        <v>240.12075267351378</v>
      </c>
      <c r="O25" s="1">
        <v>231.96799652768726</v>
      </c>
      <c r="P25" s="1">
        <v>223.96606063471205</v>
      </c>
      <c r="Q25" s="1">
        <v>216.1279014872934</v>
      </c>
      <c r="R25" s="1">
        <v>208.46455309844322</v>
      </c>
      <c r="S25" s="1">
        <v>200.98499789369598</v>
      </c>
      <c r="T25" s="1">
        <v>193.69606175409209</v>
      </c>
      <c r="U25" s="1">
        <v>186.60233442391313</v>
      </c>
      <c r="V25" s="1">
        <v>179.70611619597673</v>
      </c>
      <c r="W25" s="1">
        <v>173.00739147637125</v>
      </c>
      <c r="X25" s="1">
        <v>166.5038295136095</v>
      </c>
      <c r="Y25" s="1">
        <v>160.19081225810788</v>
      </c>
      <c r="Z25" s="1">
        <v>154.06148900041609</v>
      </c>
      <c r="AA25" s="1">
        <v>148.10685712443043</v>
      </c>
      <c r="AB25" s="1">
        <v>142.31586800849917</v>
      </c>
      <c r="AC25" s="1">
        <v>136.67555681629057</v>
      </c>
      <c r="AD25" s="1">
        <v>131.17119464378058</v>
      </c>
      <c r="AE25" s="1">
        <v>125.78646123174504</v>
      </c>
      <c r="AF25" s="1">
        <v>120.50363621747803</v>
      </c>
      <c r="AG25" s="1">
        <v>115.30380668762029</v>
      </c>
      <c r="AH25" s="1">
        <v>110.16708860818552</v>
      </c>
      <c r="AI25" s="1">
        <v>105.07285955005614</v>
      </c>
      <c r="AJ25" s="1">
        <f>$C$14</f>
        <v>100</v>
      </c>
      <c r="AK25" s="1">
        <v>7</v>
      </c>
    </row>
    <row r="26" spans="1:37">
      <c r="F26" s="1">
        <f t="shared" si="0"/>
        <v>1.7241379310344831E-2</v>
      </c>
      <c r="G26" s="1">
        <f>$C$13</f>
        <v>300</v>
      </c>
      <c r="H26" s="1">
        <v>291.27909301931516</v>
      </c>
      <c r="I26" s="1">
        <v>282.57958655170262</v>
      </c>
      <c r="J26" s="1">
        <v>273.92262966563453</v>
      </c>
      <c r="K26" s="1">
        <v>265.32887151373859</v>
      </c>
      <c r="L26" s="1">
        <v>256.81821877222035</v>
      </c>
      <c r="M26" s="1">
        <v>248.40960185664233</v>
      </c>
      <c r="N26" s="1">
        <v>240.12075267351378</v>
      </c>
      <c r="O26" s="1">
        <v>231.96799652768726</v>
      </c>
      <c r="P26" s="1">
        <v>223.96606063471211</v>
      </c>
      <c r="Q26" s="1">
        <v>216.12790148729346</v>
      </c>
      <c r="R26" s="1">
        <v>208.46455309844322</v>
      </c>
      <c r="S26" s="1">
        <v>200.984997893696</v>
      </c>
      <c r="T26" s="1">
        <v>193.69606175409211</v>
      </c>
      <c r="U26" s="1">
        <v>186.60233442391313</v>
      </c>
      <c r="V26" s="1">
        <v>179.70611619597679</v>
      </c>
      <c r="W26" s="1">
        <v>173.00739147637125</v>
      </c>
      <c r="X26" s="1">
        <v>166.5038295136095</v>
      </c>
      <c r="Y26" s="1">
        <v>160.19081225810788</v>
      </c>
      <c r="Z26" s="1">
        <v>154.06148900041612</v>
      </c>
      <c r="AA26" s="1">
        <v>148.10685712443043</v>
      </c>
      <c r="AB26" s="1">
        <v>142.31586800849919</v>
      </c>
      <c r="AC26" s="1">
        <v>136.67555681629057</v>
      </c>
      <c r="AD26" s="1">
        <v>131.17119464378061</v>
      </c>
      <c r="AE26" s="1">
        <v>125.78646123174505</v>
      </c>
      <c r="AF26" s="1">
        <v>120.50363621747806</v>
      </c>
      <c r="AG26" s="1">
        <v>115.30380668762032</v>
      </c>
      <c r="AH26" s="1">
        <v>110.16708860818554</v>
      </c>
      <c r="AI26" s="1">
        <v>105.07285955005614</v>
      </c>
      <c r="AJ26" s="1">
        <f>$C$14</f>
        <v>100</v>
      </c>
      <c r="AK26" s="1">
        <v>6</v>
      </c>
    </row>
    <row r="27" spans="1:37">
      <c r="F27" s="1">
        <f t="shared" si="0"/>
        <v>1.3793103448275864E-2</v>
      </c>
      <c r="G27" s="1">
        <f>$C$13</f>
        <v>300</v>
      </c>
      <c r="H27" s="1">
        <v>291.27909301931521</v>
      </c>
      <c r="I27" s="1">
        <v>282.57958655170268</v>
      </c>
      <c r="J27" s="1">
        <v>273.92262966563453</v>
      </c>
      <c r="K27" s="1">
        <v>265.32887151373859</v>
      </c>
      <c r="L27" s="1">
        <v>256.81821877222035</v>
      </c>
      <c r="M27" s="1">
        <v>248.40960185664238</v>
      </c>
      <c r="N27" s="1">
        <v>240.12075267351378</v>
      </c>
      <c r="O27" s="1">
        <v>231.96799652768729</v>
      </c>
      <c r="P27" s="1">
        <v>223.96606063471211</v>
      </c>
      <c r="Q27" s="1">
        <v>216.12790148729346</v>
      </c>
      <c r="R27" s="1">
        <v>208.46455309844325</v>
      </c>
      <c r="S27" s="1">
        <v>200.984997893696</v>
      </c>
      <c r="T27" s="1">
        <v>193.69606175409211</v>
      </c>
      <c r="U27" s="1">
        <v>186.60233442391313</v>
      </c>
      <c r="V27" s="1">
        <v>179.70611619597679</v>
      </c>
      <c r="W27" s="1">
        <v>173.00739147637125</v>
      </c>
      <c r="X27" s="1">
        <v>166.5038295136095</v>
      </c>
      <c r="Y27" s="1">
        <v>160.19081225810788</v>
      </c>
      <c r="Z27" s="1">
        <v>154.06148900041612</v>
      </c>
      <c r="AA27" s="1">
        <v>148.10685712443043</v>
      </c>
      <c r="AB27" s="1">
        <v>142.31586800849919</v>
      </c>
      <c r="AC27" s="1">
        <v>136.67555681629057</v>
      </c>
      <c r="AD27" s="1">
        <v>131.17119464378061</v>
      </c>
      <c r="AE27" s="1">
        <v>125.78646123174506</v>
      </c>
      <c r="AF27" s="1">
        <v>120.50363621747806</v>
      </c>
      <c r="AG27" s="1">
        <v>115.30380668762032</v>
      </c>
      <c r="AH27" s="1">
        <v>110.16708860818554</v>
      </c>
      <c r="AI27" s="1">
        <v>105.07285955005614</v>
      </c>
      <c r="AJ27" s="1">
        <f>$C$14</f>
        <v>100</v>
      </c>
      <c r="AK27" s="1">
        <v>5</v>
      </c>
    </row>
    <row r="28" spans="1:37">
      <c r="F28" s="1">
        <f t="shared" si="0"/>
        <v>1.0344827586206898E-2</v>
      </c>
      <c r="G28" s="1">
        <f>$C$13</f>
        <v>300</v>
      </c>
      <c r="H28" s="1">
        <v>291.27909301931521</v>
      </c>
      <c r="I28" s="1">
        <v>282.57958655170273</v>
      </c>
      <c r="J28" s="1">
        <v>273.92262966563459</v>
      </c>
      <c r="K28" s="1">
        <v>265.32887151373859</v>
      </c>
      <c r="L28" s="1">
        <v>256.8182187722204</v>
      </c>
      <c r="M28" s="1">
        <v>248.40960185664241</v>
      </c>
      <c r="N28" s="1">
        <v>240.12075267351383</v>
      </c>
      <c r="O28" s="1">
        <v>231.96799652768735</v>
      </c>
      <c r="P28" s="1">
        <v>223.96606063471214</v>
      </c>
      <c r="Q28" s="1">
        <v>216.12790148729349</v>
      </c>
      <c r="R28" s="1">
        <v>208.46455309844328</v>
      </c>
      <c r="S28" s="1">
        <v>200.984997893696</v>
      </c>
      <c r="T28" s="1">
        <v>193.69606175409214</v>
      </c>
      <c r="U28" s="1">
        <v>186.60233442391316</v>
      </c>
      <c r="V28" s="1">
        <v>179.70611619597682</v>
      </c>
      <c r="W28" s="1">
        <v>173.00739147637131</v>
      </c>
      <c r="X28" s="1">
        <v>166.50382951360956</v>
      </c>
      <c r="Y28" s="1">
        <v>160.19081225810791</v>
      </c>
      <c r="Z28" s="1">
        <v>154.06148900041612</v>
      </c>
      <c r="AA28" s="1">
        <v>148.10685712443046</v>
      </c>
      <c r="AB28" s="1">
        <v>142.31586800849922</v>
      </c>
      <c r="AC28" s="1">
        <v>136.67555681629059</v>
      </c>
      <c r="AD28" s="1">
        <v>131.17119464378067</v>
      </c>
      <c r="AE28" s="1">
        <v>125.78646123174508</v>
      </c>
      <c r="AF28" s="1">
        <v>120.50363621747806</v>
      </c>
      <c r="AG28" s="1">
        <v>115.30380668762032</v>
      </c>
      <c r="AH28" s="1">
        <v>110.16708860818557</v>
      </c>
      <c r="AI28" s="1">
        <v>105.07285955005617</v>
      </c>
      <c r="AJ28" s="1">
        <f>$C$14</f>
        <v>100</v>
      </c>
      <c r="AK28" s="1">
        <v>4</v>
      </c>
    </row>
    <row r="29" spans="1:37">
      <c r="F29" s="1">
        <f>F30+$C$5</f>
        <v>6.8965517241379318E-3</v>
      </c>
      <c r="G29" s="1">
        <f>$C$13</f>
        <v>300</v>
      </c>
      <c r="H29" s="1">
        <v>291.27909301931521</v>
      </c>
      <c r="I29" s="1">
        <v>282.57958655170273</v>
      </c>
      <c r="J29" s="1">
        <v>273.92262966563464</v>
      </c>
      <c r="K29" s="1">
        <v>265.32887151373865</v>
      </c>
      <c r="L29" s="1">
        <v>256.81821877222046</v>
      </c>
      <c r="M29" s="1">
        <v>248.40960185664241</v>
      </c>
      <c r="N29" s="1">
        <v>240.12075267351386</v>
      </c>
      <c r="O29" s="1">
        <v>231.96799652768738</v>
      </c>
      <c r="P29" s="1">
        <v>223.96606063471211</v>
      </c>
      <c r="Q29" s="1">
        <v>216.12790148729349</v>
      </c>
      <c r="R29" s="1">
        <v>208.46455309844328</v>
      </c>
      <c r="S29" s="1">
        <v>200.984997893696</v>
      </c>
      <c r="T29" s="1">
        <v>193.69606175409214</v>
      </c>
      <c r="U29" s="1">
        <v>186.60233442391316</v>
      </c>
      <c r="V29" s="1">
        <v>179.70611619597679</v>
      </c>
      <c r="W29" s="1">
        <v>173.00739147637134</v>
      </c>
      <c r="X29" s="1">
        <v>166.50382951360956</v>
      </c>
      <c r="Y29" s="1">
        <v>160.19081225810791</v>
      </c>
      <c r="Z29" s="1">
        <v>154.06148900041615</v>
      </c>
      <c r="AA29" s="1">
        <v>148.10685712443046</v>
      </c>
      <c r="AB29" s="1">
        <v>142.31586800849922</v>
      </c>
      <c r="AC29" s="1">
        <v>136.67555681629062</v>
      </c>
      <c r="AD29" s="1">
        <v>131.17119464378067</v>
      </c>
      <c r="AE29" s="1">
        <v>125.78646123174508</v>
      </c>
      <c r="AF29" s="1">
        <v>120.50363621747809</v>
      </c>
      <c r="AG29" s="1">
        <v>115.30380668762035</v>
      </c>
      <c r="AH29" s="1">
        <v>110.16708860818557</v>
      </c>
      <c r="AI29" s="1">
        <v>105.07285955005617</v>
      </c>
      <c r="AJ29" s="1">
        <f>$C$14</f>
        <v>100</v>
      </c>
      <c r="AK29" s="1">
        <v>3</v>
      </c>
    </row>
    <row r="30" spans="1:37">
      <c r="F30" s="1">
        <f>F31+$C$5</f>
        <v>3.4482758620689659E-3</v>
      </c>
      <c r="G30" s="1">
        <f>$C$13</f>
        <v>300</v>
      </c>
      <c r="H30" s="1">
        <v>291.27909301931521</v>
      </c>
      <c r="I30" s="1">
        <v>282.57958655170273</v>
      </c>
      <c r="J30" s="1">
        <v>273.92262966563464</v>
      </c>
      <c r="K30" s="1">
        <v>265.32887151373865</v>
      </c>
      <c r="L30" s="1">
        <v>256.81821877222046</v>
      </c>
      <c r="M30" s="1">
        <v>248.40960185664241</v>
      </c>
      <c r="N30" s="1">
        <v>240.12075267351386</v>
      </c>
      <c r="O30" s="1">
        <v>231.96799652768738</v>
      </c>
      <c r="P30" s="1">
        <v>223.96606063471211</v>
      </c>
      <c r="Q30" s="1">
        <v>216.12790148729346</v>
      </c>
      <c r="R30" s="1">
        <v>208.46455309844328</v>
      </c>
      <c r="S30" s="1">
        <v>200.984997893696</v>
      </c>
      <c r="T30" s="1">
        <v>193.69606175409214</v>
      </c>
      <c r="U30" s="1">
        <v>186.60233442391316</v>
      </c>
      <c r="V30" s="1">
        <v>179.70611619597679</v>
      </c>
      <c r="W30" s="1">
        <v>173.00739147637137</v>
      </c>
      <c r="X30" s="1">
        <v>166.50382951360956</v>
      </c>
      <c r="Y30" s="1">
        <v>160.19081225810791</v>
      </c>
      <c r="Z30" s="1">
        <v>154.06148900041615</v>
      </c>
      <c r="AA30" s="1">
        <v>148.10685712443046</v>
      </c>
      <c r="AB30" s="1">
        <v>142.31586800849922</v>
      </c>
      <c r="AC30" s="1">
        <v>136.67555681629062</v>
      </c>
      <c r="AD30" s="1">
        <v>131.17119464378067</v>
      </c>
      <c r="AE30" s="1">
        <v>125.78646123174509</v>
      </c>
      <c r="AF30" s="1">
        <v>120.50363621747809</v>
      </c>
      <c r="AG30" s="1">
        <v>115.30380668762035</v>
      </c>
      <c r="AH30" s="1">
        <v>110.16708860818555</v>
      </c>
      <c r="AI30" s="1">
        <v>105.07285955005617</v>
      </c>
      <c r="AJ30" s="1">
        <f>$C$14</f>
        <v>100</v>
      </c>
      <c r="AK30" s="1">
        <v>2</v>
      </c>
    </row>
    <row r="31" spans="1:37">
      <c r="F31" s="1">
        <v>0</v>
      </c>
      <c r="G31" s="1">
        <f>$C$13</f>
        <v>300</v>
      </c>
      <c r="H31" s="1">
        <v>291.27909301931521</v>
      </c>
      <c r="I31" s="1">
        <v>282.57958655170273</v>
      </c>
      <c r="J31" s="1">
        <v>273.92262966563464</v>
      </c>
      <c r="K31" s="1">
        <v>265.32887151373865</v>
      </c>
      <c r="L31" s="1">
        <v>256.81821877222046</v>
      </c>
      <c r="M31" s="1">
        <v>248.40960185664241</v>
      </c>
      <c r="N31" s="1">
        <v>240.12075267351386</v>
      </c>
      <c r="O31" s="1">
        <v>231.96799652768738</v>
      </c>
      <c r="P31" s="1">
        <v>223.96606063471211</v>
      </c>
      <c r="Q31" s="1">
        <v>216.12790148729346</v>
      </c>
      <c r="R31" s="1">
        <v>208.46455309844328</v>
      </c>
      <c r="S31" s="1">
        <v>200.984997893696</v>
      </c>
      <c r="T31" s="1">
        <v>193.69606175409214</v>
      </c>
      <c r="U31" s="1">
        <v>186.60233442391316</v>
      </c>
      <c r="V31" s="1">
        <v>179.70611619597679</v>
      </c>
      <c r="W31" s="1">
        <v>173.00739147637137</v>
      </c>
      <c r="X31" s="1">
        <v>166.50382951360956</v>
      </c>
      <c r="Y31" s="1">
        <v>160.19081225810791</v>
      </c>
      <c r="Z31" s="1">
        <v>154.06148900041615</v>
      </c>
      <c r="AA31" s="1">
        <v>148.10685712443046</v>
      </c>
      <c r="AB31" s="1">
        <v>142.31586800849922</v>
      </c>
      <c r="AC31" s="1">
        <v>136.67555681629062</v>
      </c>
      <c r="AD31" s="1">
        <v>131.17119464378067</v>
      </c>
      <c r="AE31" s="1">
        <v>125.78646123174509</v>
      </c>
      <c r="AF31" s="1">
        <v>120.50363621747809</v>
      </c>
      <c r="AG31" s="1">
        <v>115.30380668762035</v>
      </c>
      <c r="AH31" s="1">
        <v>110.16708860818555</v>
      </c>
      <c r="AI31" s="1">
        <v>105.07285955005617</v>
      </c>
      <c r="AJ31" s="1">
        <f>$C$14</f>
        <v>100</v>
      </c>
      <c r="AK31" s="1">
        <v>1</v>
      </c>
    </row>
    <row r="32" spans="1:37">
      <c r="G32" s="1">
        <v>0</v>
      </c>
      <c r="H32" s="1">
        <f>G32+$C$4</f>
        <v>3.4482758620689659E-3</v>
      </c>
      <c r="I32" s="1">
        <f t="shared" ref="I32:AJ32" si="1">H32+$C$4</f>
        <v>6.8965517241379318E-3</v>
      </c>
      <c r="J32" s="1">
        <f t="shared" si="1"/>
        <v>1.0344827586206898E-2</v>
      </c>
      <c r="K32" s="1">
        <f t="shared" si="1"/>
        <v>1.3793103448275864E-2</v>
      </c>
      <c r="L32" s="1">
        <f t="shared" si="1"/>
        <v>1.7241379310344831E-2</v>
      </c>
      <c r="M32" s="1">
        <f t="shared" si="1"/>
        <v>2.0689655172413796E-2</v>
      </c>
      <c r="N32" s="1">
        <f t="shared" si="1"/>
        <v>2.4137931034482762E-2</v>
      </c>
      <c r="O32" s="1">
        <f t="shared" si="1"/>
        <v>2.7586206896551727E-2</v>
      </c>
      <c r="P32" s="1">
        <f t="shared" si="1"/>
        <v>3.1034482758620693E-2</v>
      </c>
      <c r="Q32" s="1">
        <f t="shared" si="1"/>
        <v>3.4482758620689662E-2</v>
      </c>
      <c r="R32" s="1">
        <f t="shared" si="1"/>
        <v>3.7931034482758627E-2</v>
      </c>
      <c r="S32" s="1">
        <f t="shared" si="1"/>
        <v>4.1379310344827593E-2</v>
      </c>
      <c r="T32" s="1">
        <f t="shared" si="1"/>
        <v>4.4827586206896558E-2</v>
      </c>
      <c r="U32" s="1">
        <f t="shared" si="1"/>
        <v>4.8275862068965524E-2</v>
      </c>
      <c r="V32" s="1">
        <f t="shared" si="1"/>
        <v>5.1724137931034489E-2</v>
      </c>
      <c r="W32" s="1">
        <f t="shared" si="1"/>
        <v>5.5172413793103454E-2</v>
      </c>
      <c r="X32" s="1">
        <f t="shared" si="1"/>
        <v>5.862068965517242E-2</v>
      </c>
      <c r="Y32" s="1">
        <f t="shared" si="1"/>
        <v>6.2068965517241385E-2</v>
      </c>
      <c r="Z32" s="1">
        <f t="shared" si="1"/>
        <v>6.5517241379310351E-2</v>
      </c>
      <c r="AA32" s="1">
        <f t="shared" si="1"/>
        <v>6.8965517241379323E-2</v>
      </c>
      <c r="AB32" s="1">
        <f t="shared" si="1"/>
        <v>7.2413793103448296E-2</v>
      </c>
      <c r="AC32" s="1">
        <f t="shared" si="1"/>
        <v>7.5862068965517268E-2</v>
      </c>
      <c r="AD32" s="1">
        <f t="shared" si="1"/>
        <v>7.931034482758624E-2</v>
      </c>
      <c r="AE32" s="1">
        <f t="shared" si="1"/>
        <v>8.2758620689655213E-2</v>
      </c>
      <c r="AF32" s="1">
        <f t="shared" si="1"/>
        <v>8.6206896551724185E-2</v>
      </c>
      <c r="AG32" s="1">
        <f t="shared" si="1"/>
        <v>8.9655172413793158E-2</v>
      </c>
      <c r="AH32" s="1">
        <f t="shared" si="1"/>
        <v>9.310344827586213E-2</v>
      </c>
      <c r="AI32" s="1">
        <f t="shared" si="1"/>
        <v>9.6551724137931103E-2</v>
      </c>
      <c r="AJ32" s="1">
        <f>AI32+$C$4</f>
        <v>0.10000000000000007</v>
      </c>
    </row>
    <row r="34" spans="4:132">
      <c r="D34" s="2" t="s">
        <v>16</v>
      </c>
      <c r="E34" s="3"/>
      <c r="F34" s="1"/>
      <c r="G34" s="1">
        <v>30</v>
      </c>
      <c r="H34" s="1">
        <v>29</v>
      </c>
      <c r="I34" s="1">
        <v>28</v>
      </c>
      <c r="J34" s="1">
        <v>27</v>
      </c>
      <c r="K34" s="1">
        <v>26</v>
      </c>
      <c r="L34" s="1">
        <v>25</v>
      </c>
      <c r="M34" s="1">
        <v>24</v>
      </c>
      <c r="N34" s="1">
        <v>23</v>
      </c>
      <c r="O34" s="1">
        <v>22</v>
      </c>
      <c r="P34" s="1">
        <v>21</v>
      </c>
      <c r="Q34" s="1">
        <v>20</v>
      </c>
      <c r="R34" s="1">
        <v>19</v>
      </c>
      <c r="S34" s="1">
        <v>18</v>
      </c>
      <c r="T34" s="1">
        <v>17</v>
      </c>
      <c r="U34" s="1">
        <v>16</v>
      </c>
      <c r="V34" s="1">
        <v>15</v>
      </c>
      <c r="W34" s="1">
        <v>14</v>
      </c>
      <c r="X34" s="1">
        <v>13</v>
      </c>
      <c r="Y34" s="1">
        <v>12</v>
      </c>
      <c r="Z34" s="1">
        <v>11</v>
      </c>
      <c r="AA34" s="1">
        <v>10</v>
      </c>
      <c r="AB34" s="1">
        <v>9</v>
      </c>
      <c r="AC34" s="1">
        <v>8</v>
      </c>
      <c r="AD34" s="1">
        <v>7</v>
      </c>
      <c r="AE34" s="1">
        <v>6</v>
      </c>
      <c r="AF34" s="1">
        <v>5</v>
      </c>
      <c r="AG34" s="1">
        <v>4</v>
      </c>
      <c r="AH34" s="1">
        <v>3</v>
      </c>
      <c r="AI34" s="1">
        <v>2</v>
      </c>
      <c r="AJ34" s="1">
        <v>1</v>
      </c>
      <c r="AK34" s="2" t="s">
        <v>18</v>
      </c>
      <c r="AL34" s="2"/>
      <c r="AM34" s="1">
        <v>30</v>
      </c>
      <c r="AN34" s="1">
        <v>29</v>
      </c>
      <c r="AO34" s="1">
        <v>28</v>
      </c>
      <c r="AP34" s="1">
        <v>27</v>
      </c>
      <c r="AQ34" s="1">
        <v>26</v>
      </c>
      <c r="AR34" s="1">
        <v>25</v>
      </c>
      <c r="AS34" s="1">
        <v>24</v>
      </c>
      <c r="AT34" s="1">
        <v>23</v>
      </c>
      <c r="AU34" s="1">
        <v>22</v>
      </c>
      <c r="AV34" s="1">
        <v>21</v>
      </c>
      <c r="AW34" s="1">
        <v>20</v>
      </c>
      <c r="AX34" s="1">
        <v>19</v>
      </c>
      <c r="AY34" s="1">
        <v>18</v>
      </c>
      <c r="AZ34" s="1">
        <v>17</v>
      </c>
      <c r="BA34" s="1">
        <v>16</v>
      </c>
      <c r="BB34" s="1">
        <v>15</v>
      </c>
      <c r="BC34" s="1">
        <v>14</v>
      </c>
      <c r="BD34" s="1">
        <v>13</v>
      </c>
      <c r="BE34" s="1">
        <v>12</v>
      </c>
      <c r="BF34" s="1">
        <v>11</v>
      </c>
      <c r="BG34" s="1">
        <v>10</v>
      </c>
      <c r="BH34" s="1">
        <v>9</v>
      </c>
      <c r="BI34" s="1">
        <v>8</v>
      </c>
      <c r="BJ34" s="1">
        <v>7</v>
      </c>
      <c r="BK34" s="1">
        <v>6</v>
      </c>
      <c r="BL34" s="1">
        <v>5</v>
      </c>
      <c r="BM34" s="1">
        <v>4</v>
      </c>
      <c r="BN34" s="1">
        <v>3</v>
      </c>
      <c r="BO34" s="1">
        <v>2</v>
      </c>
      <c r="BP34" s="1">
        <v>1</v>
      </c>
      <c r="BQ34" s="2" t="s">
        <v>20</v>
      </c>
      <c r="BR34" s="2"/>
      <c r="BS34" s="1">
        <v>30</v>
      </c>
      <c r="BT34" s="1">
        <v>29</v>
      </c>
      <c r="BU34" s="1">
        <v>28</v>
      </c>
      <c r="BV34" s="1">
        <v>27</v>
      </c>
      <c r="BW34" s="1">
        <v>26</v>
      </c>
      <c r="BX34" s="1">
        <v>25</v>
      </c>
      <c r="BY34" s="1">
        <v>24</v>
      </c>
      <c r="BZ34" s="1">
        <v>23</v>
      </c>
      <c r="CA34" s="1">
        <v>22</v>
      </c>
      <c r="CB34" s="1">
        <v>21</v>
      </c>
      <c r="CC34" s="1">
        <v>20</v>
      </c>
      <c r="CD34" s="1">
        <v>19</v>
      </c>
      <c r="CE34" s="1">
        <v>18</v>
      </c>
      <c r="CF34" s="1">
        <v>17</v>
      </c>
      <c r="CG34" s="1">
        <v>16</v>
      </c>
      <c r="CH34" s="1">
        <v>15</v>
      </c>
      <c r="CI34" s="1">
        <v>14</v>
      </c>
      <c r="CJ34" s="1">
        <v>13</v>
      </c>
      <c r="CK34" s="1">
        <v>12</v>
      </c>
      <c r="CL34" s="1">
        <v>11</v>
      </c>
      <c r="CM34" s="1">
        <v>10</v>
      </c>
      <c r="CN34" s="1">
        <v>9</v>
      </c>
      <c r="CO34" s="1">
        <v>8</v>
      </c>
      <c r="CP34" s="1">
        <v>7</v>
      </c>
      <c r="CQ34" s="1">
        <v>6</v>
      </c>
      <c r="CR34" s="1">
        <v>5</v>
      </c>
      <c r="CS34" s="1">
        <v>4</v>
      </c>
      <c r="CT34" s="1">
        <v>3</v>
      </c>
      <c r="CU34" s="1">
        <v>2</v>
      </c>
      <c r="CV34" s="1">
        <v>1</v>
      </c>
      <c r="CW34" s="2" t="s">
        <v>22</v>
      </c>
      <c r="CX34" s="2"/>
      <c r="CY34" s="1">
        <v>30</v>
      </c>
      <c r="CZ34" s="1">
        <v>29</v>
      </c>
      <c r="DA34" s="1">
        <v>28</v>
      </c>
      <c r="DB34" s="1">
        <v>27</v>
      </c>
      <c r="DC34" s="1">
        <v>26</v>
      </c>
      <c r="DD34" s="1">
        <v>25</v>
      </c>
      <c r="DE34" s="1">
        <v>24</v>
      </c>
      <c r="DF34" s="1">
        <v>23</v>
      </c>
      <c r="DG34" s="1">
        <v>22</v>
      </c>
      <c r="DH34" s="1">
        <v>21</v>
      </c>
      <c r="DI34" s="1">
        <v>20</v>
      </c>
      <c r="DJ34" s="1">
        <v>19</v>
      </c>
      <c r="DK34" s="1">
        <v>18</v>
      </c>
      <c r="DL34" s="1">
        <v>17</v>
      </c>
      <c r="DM34" s="1">
        <v>16</v>
      </c>
      <c r="DN34" s="1">
        <v>15</v>
      </c>
      <c r="DO34" s="1">
        <v>14</v>
      </c>
      <c r="DP34" s="1">
        <v>13</v>
      </c>
      <c r="DQ34" s="1">
        <v>12</v>
      </c>
      <c r="DR34" s="1">
        <v>11</v>
      </c>
      <c r="DS34" s="1">
        <v>10</v>
      </c>
      <c r="DT34" s="1">
        <v>9</v>
      </c>
      <c r="DU34" s="1">
        <v>8</v>
      </c>
      <c r="DV34" s="1">
        <v>7</v>
      </c>
      <c r="DW34" s="1">
        <v>6</v>
      </c>
      <c r="DX34" s="1">
        <v>5</v>
      </c>
      <c r="DY34" s="1">
        <v>4</v>
      </c>
      <c r="DZ34" s="1">
        <v>3</v>
      </c>
      <c r="EA34" s="1">
        <v>2</v>
      </c>
      <c r="EB34" s="1">
        <v>1</v>
      </c>
    </row>
    <row r="35" spans="4:132">
      <c r="D35" s="3"/>
      <c r="E35" s="3"/>
      <c r="F35" s="1">
        <v>30</v>
      </c>
      <c r="G35" s="1">
        <f>0</f>
        <v>0</v>
      </c>
      <c r="H35" s="1">
        <f>$C$16/($C$17-$C$18*G35)</f>
        <v>0.3415922014622258</v>
      </c>
      <c r="I35" s="1">
        <f>$C$16/($C$17-$C$18*H35)</f>
        <v>0.3867162803971414</v>
      </c>
      <c r="J35" s="1">
        <f>$C$16/($C$17-$C$18*I35)</f>
        <v>0.39358441341045353</v>
      </c>
      <c r="K35" s="1">
        <f>$C$16/($C$17-$C$18*J35)</f>
        <v>0.39465123071155611</v>
      </c>
      <c r="L35" s="1">
        <f>$C$16/($C$17-$C$18*K35)</f>
        <v>0.39481745705771337</v>
      </c>
      <c r="M35" s="1">
        <f>$C$16/($C$17-$C$18*L35)</f>
        <v>0.39484337025824801</v>
      </c>
      <c r="N35" s="1">
        <f>$C$16/($C$17-$C$18*M35)</f>
        <v>0.39484741020089792</v>
      </c>
      <c r="O35" s="1">
        <f>$C$16/($C$17-$C$18*N35)</f>
        <v>0.39484804004704999</v>
      </c>
      <c r="P35" s="1">
        <f>$C$16/($C$17-$C$18*O35)</f>
        <v>0.39484813824322279</v>
      </c>
      <c r="Q35" s="1">
        <f>$C$16/($C$17-$C$18*P35)</f>
        <v>0.39484815355250286</v>
      </c>
      <c r="R35" s="1">
        <f>$C$16/($C$17-$C$18*Q35)</f>
        <v>0.39484815593929717</v>
      </c>
      <c r="S35" s="1">
        <f>$C$16/($C$17-$C$18*R35)</f>
        <v>0.39484815631141046</v>
      </c>
      <c r="T35" s="1">
        <f>$C$16/($C$17-$C$18*S35)</f>
        <v>0.39484815636942483</v>
      </c>
      <c r="U35" s="1">
        <f>$C$16/($C$17-$C$18*T35)</f>
        <v>0.39484815637846954</v>
      </c>
      <c r="V35" s="1">
        <f>$C$16/($C$17-$C$18*U35)</f>
        <v>0.39484815637987963</v>
      </c>
      <c r="W35" s="1">
        <f>$C$16/($C$17-$C$18*V35)</f>
        <v>0.39484815638009951</v>
      </c>
      <c r="X35" s="1">
        <f>$C$16/($C$17-$C$18*W35)</f>
        <v>0.39484815638013382</v>
      </c>
      <c r="Y35" s="1">
        <f>$C$16/($C$17-$C$18*X35)</f>
        <v>0.39484815638013915</v>
      </c>
      <c r="Z35" s="1">
        <f>$C$16/($C$17-$C$18*Y35)</f>
        <v>0.39484815638013998</v>
      </c>
      <c r="AA35" s="1">
        <f>$C$16/($C$17-$C$18*Z35)</f>
        <v>0.39484815638014015</v>
      </c>
      <c r="AB35" s="1">
        <f>$C$16/($C$17-$C$18*AA35)</f>
        <v>0.39484815638014015</v>
      </c>
      <c r="AC35" s="1">
        <f>$C$16/($C$17-$C$18*AB35)</f>
        <v>0.39484815638014015</v>
      </c>
      <c r="AD35" s="1">
        <f>$C$16/($C$17-$C$18*AC35)</f>
        <v>0.39484815638014015</v>
      </c>
      <c r="AE35" s="1">
        <f>$C$16/($C$17-$C$18*AD35)</f>
        <v>0.39484815638014015</v>
      </c>
      <c r="AF35" s="1">
        <f>$C$16/($C$17-$C$18*AE35)</f>
        <v>0.39484815638014015</v>
      </c>
      <c r="AG35" s="1">
        <f>$C$16/($C$17-$C$18*AF35)</f>
        <v>0.39484815638014015</v>
      </c>
      <c r="AH35" s="1">
        <f>$C$16/($C$17-$C$18*AG35)</f>
        <v>0.39484815638014015</v>
      </c>
      <c r="AI35" s="1">
        <f>$C$16/($C$17-$C$18*AH35)</f>
        <v>0.39484815638014015</v>
      </c>
      <c r="AJ35" s="1">
        <f>$C$16/($C$17-$C$18*AI35)</f>
        <v>0.39484815638014015</v>
      </c>
      <c r="AK35" s="2"/>
      <c r="AL35" s="2"/>
      <c r="AM35" s="1">
        <f>G2</f>
        <v>300</v>
      </c>
      <c r="AN35" s="1">
        <f>(AM35*$C$18-BT35)/($C$17-$C$18*G35)</f>
        <v>194.75942020920627</v>
      </c>
      <c r="AO35" s="1">
        <f>(AN35*$C$18-BU35)/($C$17-$C$18*H35)</f>
        <v>176.66852769877156</v>
      </c>
      <c r="AP35" s="1">
        <f>(AO35*$C$18-BV35)/($C$17-$C$18*I35)</f>
        <v>169.52578438712067</v>
      </c>
      <c r="AQ35" s="1">
        <f>(AP35*$C$18-BW35)/($C$17-$C$18*J35)</f>
        <v>164.02085461247299</v>
      </c>
      <c r="AR35" s="1">
        <f>(AQ35*$C$18-BX35)/($C$17-$C$18*K35)</f>
        <v>158.80006429465411</v>
      </c>
      <c r="AS35" s="1">
        <f>(AR35*$C$18-BY35)/($C$17-$C$18*L35)</f>
        <v>153.6698206371174</v>
      </c>
      <c r="AT35" s="1">
        <f>(AS35*$C$18-BZ35)/($C$17-$C$18*M35)</f>
        <v>148.61028613424457</v>
      </c>
      <c r="AU35" s="1">
        <f>(AT35*$C$18-CA35)/($C$17-$C$18*N35)</f>
        <v>143.62716612107627</v>
      </c>
      <c r="AV35" s="1">
        <f>(AU35*$C$18-CB35)/($C$17-$C$18*O35)</f>
        <v>138.729247343346</v>
      </c>
      <c r="AW35" s="1">
        <f>(AV35*$C$18-CC35)/($C$17-$C$18*P35)</f>
        <v>133.92491606340701</v>
      </c>
      <c r="AX35" s="1">
        <f>(AW35*$C$18-CD35)/($C$17-$C$18*Q35)</f>
        <v>129.22155026599387</v>
      </c>
      <c r="AY35" s="1">
        <f>(AX35*$C$18-CE35)/($C$17-$C$18*R35)</f>
        <v>124.6253564839031</v>
      </c>
      <c r="AZ35" s="1">
        <f>(AY35*$C$18-CF35)/($C$17-$C$18*S35)</f>
        <v>120.14128564063314</v>
      </c>
      <c r="BA35" s="1">
        <f>(AZ35*$C$18-CG35)/($C$17-$C$18*T35)</f>
        <v>115.77297349221975</v>
      </c>
      <c r="BB35" s="1">
        <f>(BA35*$C$18-CH35)/($C$17-$C$18*U35)</f>
        <v>111.5226980109047</v>
      </c>
      <c r="BC35" s="1">
        <f>(BB35*$C$18-CI35)/($C$17-$C$18*V35)</f>
        <v>107.39135294120172</v>
      </c>
      <c r="BD35" s="1">
        <f>(BC35*$C$18-CJ35)/($C$17-$C$18*W35)</f>
        <v>103.37843763518713</v>
      </c>
      <c r="BE35" s="1">
        <f>(BD35*$C$18-CK35)/($C$17-$C$18*X35)</f>
        <v>99.482063242813368</v>
      </c>
      <c r="BF35" s="1">
        <f>(BE35*$C$18-CL35)/($C$17-$C$18*Y35)</f>
        <v>95.698975165357524</v>
      </c>
      <c r="BG35" s="1">
        <f>(BF35*$C$18-CM35)/($C$17-$C$18*Z35)</f>
        <v>92.024591493690551</v>
      </c>
      <c r="BH35" s="1">
        <f>(BG35*$C$18-CN35)/($C$17-$C$18*AA35)</f>
        <v>88.453056967473557</v>
      </c>
      <c r="BI35" s="1">
        <f>(BH35*$C$18-CO35)/($C$17-$C$18*AB35)</f>
        <v>84.977311811399915</v>
      </c>
      <c r="BJ35" s="1">
        <f>(BI35*$C$18-CP35)/($C$17-$C$18*AC35)</f>
        <v>81.589174632617315</v>
      </c>
      <c r="BK35" s="1">
        <f>(BJ35*$C$18-CQ35)/($C$17-$C$18*AD35)</f>
        <v>78.279438401448644</v>
      </c>
      <c r="BL35" s="1">
        <f>(BK35*$C$18-CR35)/($C$17-$C$18*AE35)</f>
        <v>75.037978387256061</v>
      </c>
      <c r="BM35" s="1">
        <f>(BL35*$C$18-CS35)/($C$17-$C$18*AF35)</f>
        <v>71.853870784380689</v>
      </c>
      <c r="BN35" s="1">
        <f>(BM35*$C$18-CT35)/($C$17-$C$18*AG35)</f>
        <v>68.715520640990064</v>
      </c>
      <c r="BO35" s="1">
        <f>(BN35*$C$18-CU35)/($C$17-$C$18*AH35)</f>
        <v>65.61079759766163</v>
      </c>
      <c r="BP35" s="1">
        <f>(BO35*$C$18-CV35)/($C$17-$C$18*AI35)</f>
        <v>62.527177853718754</v>
      </c>
      <c r="BQ35" s="2"/>
      <c r="BR35" s="2"/>
      <c r="BS35" s="1">
        <f>-$C$10*$C$9*G2/$C$7</f>
        <v>-1076400000</v>
      </c>
      <c r="BT35" s="1">
        <f>-$C$10*$C$9*H2/$C$7</f>
        <v>-1045109385.7533028</v>
      </c>
      <c r="BU35" s="1">
        <f>-$C$10*$C$9*I2/$C$7</f>
        <v>-1013895556.5475086</v>
      </c>
      <c r="BV35" s="1">
        <f>-$C$10*$C$9*J2/$C$7</f>
        <v>-982834395.24029565</v>
      </c>
      <c r="BW35" s="1">
        <f>-$C$10*$C$9*K2/$C$7</f>
        <v>-951999990.99129283</v>
      </c>
      <c r="BX35" s="1">
        <f>-$C$10*$C$9*L2/$C$7</f>
        <v>-921463768.95472562</v>
      </c>
      <c r="BY35" s="1">
        <f>-$C$10*$C$9*M2/$C$7</f>
        <v>-891293651.4616313</v>
      </c>
      <c r="BZ35" s="1">
        <f>-$C$10*$C$9*N2/$C$7</f>
        <v>-861553260.59256577</v>
      </c>
      <c r="CA35" s="1">
        <f>-$C$10*$C$9*O2/$C$7</f>
        <v>-832301171.54134035</v>
      </c>
      <c r="CB35" s="1">
        <f>-$C$10*$C$9*P2/$C$7</f>
        <v>-803590225.55734515</v>
      </c>
      <c r="CC35" s="1">
        <f>-$C$10*$C$9*Q2/$C$7</f>
        <v>-775466910.53640699</v>
      </c>
      <c r="CD35" s="1">
        <f>-$C$10*$C$9*R2/$C$7</f>
        <v>-747970816.51721263</v>
      </c>
      <c r="CE35" s="1">
        <f>-$C$10*$C$9*S2/$C$7</f>
        <v>-721134172.44257927</v>
      </c>
      <c r="CF35" s="1">
        <f>-$C$10*$C$9*T2/$C$7</f>
        <v>-694981469.57368076</v>
      </c>
      <c r="CG35" s="1">
        <f>-$C$10*$C$9*U2/$C$7</f>
        <v>-669529175.9129988</v>
      </c>
      <c r="CH35" s="1">
        <f>-$C$10*$C$9*V2/$C$7</f>
        <v>-644785544.91116273</v>
      </c>
      <c r="CI35" s="1">
        <f>-$C$10*$C$9*W2/$C$7</f>
        <v>-620750520.61721838</v>
      </c>
      <c r="CJ35" s="1">
        <f>-$C$10*$C$9*X2/$C$7</f>
        <v>-597415740.29482901</v>
      </c>
      <c r="CK35" s="1">
        <f>-$C$10*$C$9*Y2/$C$7</f>
        <v>-574764634.38208938</v>
      </c>
      <c r="CL35" s="1">
        <f>-$C$10*$C$9*Z2/$C$7</f>
        <v>-552772622.53349102</v>
      </c>
      <c r="CM35" s="1">
        <f>-$C$10*$C$9*AA2/$C$7</f>
        <v>-531407403.36245465</v>
      </c>
      <c r="CN35" s="1">
        <f>-$C$10*$C$9*AB2/$C$7</f>
        <v>-510629334.4144935</v>
      </c>
      <c r="CO35" s="1">
        <f>-$C$10*$C$9*AC2/$C$7</f>
        <v>-490391897.85684913</v>
      </c>
      <c r="CP35" s="1">
        <f>-$C$10*$C$9*AD2/$C$7</f>
        <v>-470642246.38188362</v>
      </c>
      <c r="CQ35" s="1">
        <f>-$C$10*$C$9*AE2/$C$7</f>
        <v>-451321822.89950025</v>
      </c>
      <c r="CR35" s="1">
        <f>-$C$10*$C$9*AF2/$C$7</f>
        <v>-432367046.74831039</v>
      </c>
      <c r="CS35" s="1">
        <f>-$C$10*$C$9*AG2/$C$7</f>
        <v>-413710058.39518106</v>
      </c>
      <c r="CT35" s="1">
        <f>-$C$10*$C$9*AH2/$C$7</f>
        <v>-395279513.92616922</v>
      </c>
      <c r="CU35" s="1">
        <f>-$C$10*$C$9*AI2/$C$7</f>
        <v>-377001420.06560123</v>
      </c>
      <c r="CV35" s="1">
        <f>-$C$10*$C$9*AJ2/$C$7</f>
        <v>-358800000</v>
      </c>
      <c r="CW35" s="2"/>
      <c r="CX35" s="2"/>
      <c r="CY35" s="1">
        <f>G2</f>
        <v>300</v>
      </c>
      <c r="CZ35" s="1">
        <f>H35*DA35+AN35</f>
        <v>291.30187853019191</v>
      </c>
      <c r="DA35" s="1">
        <f t="shared" ref="DA35:EA35" si="2">I35*DB35+AO35</f>
        <v>282.62488987665483</v>
      </c>
      <c r="DB35" s="1">
        <f t="shared" si="2"/>
        <v>273.98991857562999</v>
      </c>
      <c r="DC35" s="1">
        <f t="shared" si="2"/>
        <v>265.41735553833485</v>
      </c>
      <c r="DD35" s="1">
        <f t="shared" si="2"/>
        <v>256.92685854049915</v>
      </c>
      <c r="DE35" s="1">
        <f t="shared" si="2"/>
        <v>248.5371213753123</v>
      </c>
      <c r="DF35" s="1">
        <f t="shared" si="2"/>
        <v>240.2656543939101</v>
      </c>
      <c r="DG35" s="1">
        <f t="shared" si="2"/>
        <v>232.12857902001025</v>
      </c>
      <c r="DH35" s="1">
        <f t="shared" si="2"/>
        <v>224.14043865682652</v>
      </c>
      <c r="DI35" s="1">
        <f t="shared" si="2"/>
        <v>216.31402820713828</v>
      </c>
      <c r="DJ35" s="1">
        <f t="shared" si="2"/>
        <v>208.66024420391773</v>
      </c>
      <c r="DK35" s="1">
        <f t="shared" si="2"/>
        <v>201.1879573020889</v>
      </c>
      <c r="DL35" s="1">
        <f t="shared" si="2"/>
        <v>193.90390861494132</v>
      </c>
      <c r="DM35" s="1">
        <f t="shared" si="2"/>
        <v>186.81263109481239</v>
      </c>
      <c r="DN35" s="1">
        <f t="shared" si="2"/>
        <v>179.9163968604168</v>
      </c>
      <c r="DO35" s="1">
        <f t="shared" si="2"/>
        <v>173.21519106628716</v>
      </c>
      <c r="DP35" s="1">
        <f t="shared" si="2"/>
        <v>166.70671259693131</v>
      </c>
      <c r="DQ35" s="1">
        <f t="shared" si="2"/>
        <v>160.38640155324893</v>
      </c>
      <c r="DR35" s="1">
        <f t="shared" si="2"/>
        <v>154.24749318520321</v>
      </c>
      <c r="DS35" s="1">
        <f t="shared" si="2"/>
        <v>148.28109761636603</v>
      </c>
      <c r="DT35" s="1">
        <f t="shared" si="2"/>
        <v>142.47630440628046</v>
      </c>
      <c r="DU35" s="1">
        <f t="shared" si="2"/>
        <v>136.82031070900075</v>
      </c>
      <c r="DV35" s="1">
        <f t="shared" si="2"/>
        <v>131.29857151387827</v>
      </c>
      <c r="DW35" s="1">
        <f t="shared" si="2"/>
        <v>125.89497020065409</v>
      </c>
      <c r="DX35" s="1">
        <f t="shared" si="2"/>
        <v>120.59200740794032</v>
      </c>
      <c r="DY35" s="1">
        <f t="shared" si="2"/>
        <v>115.37100600471616</v>
      </c>
      <c r="DZ35" s="1">
        <f t="shared" si="2"/>
        <v>110.21232977073684</v>
      </c>
      <c r="EA35" s="1">
        <f t="shared" si="2"/>
        <v>105.09561323567564</v>
      </c>
      <c r="EB35" s="1">
        <f>AJ2</f>
        <v>100</v>
      </c>
    </row>
    <row r="36" spans="4:132">
      <c r="D36" s="3"/>
      <c r="E36" s="3"/>
      <c r="F36" s="1">
        <v>29</v>
      </c>
      <c r="G36" s="1">
        <f>0</f>
        <v>0</v>
      </c>
      <c r="H36" s="1">
        <f>$C$16/($C$17-$C$18*G36)</f>
        <v>0.3415922014622258</v>
      </c>
      <c r="I36" s="1">
        <f>$C$16/($C$17-$C$18*H36)</f>
        <v>0.3867162803971414</v>
      </c>
      <c r="J36" s="1">
        <f>$C$16/($C$17-$C$18*I36)</f>
        <v>0.39358441341045353</v>
      </c>
      <c r="K36" s="1">
        <f>$C$16/($C$17-$C$18*J36)</f>
        <v>0.39465123071155611</v>
      </c>
      <c r="L36" s="1">
        <f>$C$16/($C$17-$C$18*K36)</f>
        <v>0.39481745705771337</v>
      </c>
      <c r="M36" s="1">
        <f>$C$16/($C$17-$C$18*L36)</f>
        <v>0.39484337025824801</v>
      </c>
      <c r="N36" s="1">
        <f>$C$16/($C$17-$C$18*M36)</f>
        <v>0.39484741020089792</v>
      </c>
      <c r="O36" s="1">
        <f>$C$16/($C$17-$C$18*N36)</f>
        <v>0.39484804004704999</v>
      </c>
      <c r="P36" s="1">
        <f>$C$16/($C$17-$C$18*O36)</f>
        <v>0.39484813824322279</v>
      </c>
      <c r="Q36" s="1">
        <f>$C$16/($C$17-$C$18*P36)</f>
        <v>0.39484815355250286</v>
      </c>
      <c r="R36" s="1">
        <f>$C$16/($C$17-$C$18*Q36)</f>
        <v>0.39484815593929717</v>
      </c>
      <c r="S36" s="1">
        <f>$C$16/($C$17-$C$18*R36)</f>
        <v>0.39484815631141046</v>
      </c>
      <c r="T36" s="1">
        <f>$C$16/($C$17-$C$18*S36)</f>
        <v>0.39484815636942483</v>
      </c>
      <c r="U36" s="1">
        <f>$C$16/($C$17-$C$18*T36)</f>
        <v>0.39484815637846954</v>
      </c>
      <c r="V36" s="1">
        <f>$C$16/($C$17-$C$18*U36)</f>
        <v>0.39484815637987963</v>
      </c>
      <c r="W36" s="1">
        <f>$C$16/($C$17-$C$18*V36)</f>
        <v>0.39484815638009951</v>
      </c>
      <c r="X36" s="1">
        <f>$C$16/($C$17-$C$18*W36)</f>
        <v>0.39484815638013382</v>
      </c>
      <c r="Y36" s="1">
        <f>$C$16/($C$17-$C$18*X36)</f>
        <v>0.39484815638013915</v>
      </c>
      <c r="Z36" s="1">
        <f>$C$16/($C$17-$C$18*Y36)</f>
        <v>0.39484815638013998</v>
      </c>
      <c r="AA36" s="1">
        <f>$C$16/($C$17-$C$18*Z36)</f>
        <v>0.39484815638014015</v>
      </c>
      <c r="AB36" s="1">
        <f>$C$16/($C$17-$C$18*AA36)</f>
        <v>0.39484815638014015</v>
      </c>
      <c r="AC36" s="1">
        <f>$C$16/($C$17-$C$18*AB36)</f>
        <v>0.39484815638014015</v>
      </c>
      <c r="AD36" s="1">
        <f>$C$16/($C$17-$C$18*AC36)</f>
        <v>0.39484815638014015</v>
      </c>
      <c r="AE36" s="1">
        <f>$C$16/($C$17-$C$18*AD36)</f>
        <v>0.39484815638014015</v>
      </c>
      <c r="AF36" s="1">
        <f>$C$16/($C$17-$C$18*AE36)</f>
        <v>0.39484815638014015</v>
      </c>
      <c r="AG36" s="1">
        <f>$C$16/($C$17-$C$18*AF36)</f>
        <v>0.39484815638014015</v>
      </c>
      <c r="AH36" s="1">
        <f>$C$16/($C$17-$C$18*AG36)</f>
        <v>0.39484815638014015</v>
      </c>
      <c r="AI36" s="1">
        <f>$C$16/($C$17-$C$18*AH36)</f>
        <v>0.39484815638014015</v>
      </c>
      <c r="AJ36" s="1">
        <f>$C$16/($C$17-$C$18*AI36)</f>
        <v>0.39484815638014015</v>
      </c>
      <c r="AK36" s="2"/>
      <c r="AL36" s="2"/>
      <c r="AM36" s="1">
        <f>G3</f>
        <v>300</v>
      </c>
      <c r="AN36" s="1">
        <f>(AM36*$C$18-BT36)/($C$17-$C$18*G36)</f>
        <v>194.75942020920627</v>
      </c>
      <c r="AO36" s="1">
        <f>(AN36*$C$18-BU36)/($C$17-$C$18*H36)</f>
        <v>176.66852769877156</v>
      </c>
      <c r="AP36" s="1">
        <f>(AO36*$C$18-BV36)/($C$17-$C$18*I36)</f>
        <v>169.52578438712067</v>
      </c>
      <c r="AQ36" s="1">
        <f>(AP36*$C$18-BW36)/($C$17-$C$18*J36)</f>
        <v>164.02085461247299</v>
      </c>
      <c r="AR36" s="1">
        <f>(AQ36*$C$18-BX36)/($C$17-$C$18*K36)</f>
        <v>158.80006429465411</v>
      </c>
      <c r="AS36" s="1">
        <f>(AR36*$C$18-BY36)/($C$17-$C$18*L36)</f>
        <v>153.6698206371174</v>
      </c>
      <c r="AT36" s="1">
        <f>(AS36*$C$18-BZ36)/($C$17-$C$18*M36)</f>
        <v>148.61028613424457</v>
      </c>
      <c r="AU36" s="1">
        <f>(AT36*$C$18-CA36)/($C$17-$C$18*N36)</f>
        <v>143.62716612107627</v>
      </c>
      <c r="AV36" s="1">
        <f>(AU36*$C$18-CB36)/($C$17-$C$18*O36)</f>
        <v>138.729247343346</v>
      </c>
      <c r="AW36" s="1">
        <f>(AV36*$C$18-CC36)/($C$17-$C$18*P36)</f>
        <v>133.92491606340701</v>
      </c>
      <c r="AX36" s="1">
        <f>(AW36*$C$18-CD36)/($C$17-$C$18*Q36)</f>
        <v>129.22155026599387</v>
      </c>
      <c r="AY36" s="1">
        <f>(AX36*$C$18-CE36)/($C$17-$C$18*R36)</f>
        <v>124.6253564839031</v>
      </c>
      <c r="AZ36" s="1">
        <f>(AY36*$C$18-CF36)/($C$17-$C$18*S36)</f>
        <v>120.14128564063314</v>
      </c>
      <c r="BA36" s="1">
        <f>(AZ36*$C$18-CG36)/($C$17-$C$18*T36)</f>
        <v>115.77297349221975</v>
      </c>
      <c r="BB36" s="1">
        <f>(BA36*$C$18-CH36)/($C$17-$C$18*U36)</f>
        <v>111.5226980109047</v>
      </c>
      <c r="BC36" s="1">
        <f>(BB36*$C$18-CI36)/($C$17-$C$18*V36)</f>
        <v>107.39135294120172</v>
      </c>
      <c r="BD36" s="1">
        <f>(BC36*$C$18-CJ36)/($C$17-$C$18*W36)</f>
        <v>103.37843763518713</v>
      </c>
      <c r="BE36" s="1">
        <f>(BD36*$C$18-CK36)/($C$17-$C$18*X36)</f>
        <v>99.482063242813368</v>
      </c>
      <c r="BF36" s="1">
        <f>(BE36*$C$18-CL36)/($C$17-$C$18*Y36)</f>
        <v>95.698975165357524</v>
      </c>
      <c r="BG36" s="1">
        <f>(BF36*$C$18-CM36)/($C$17-$C$18*Z36)</f>
        <v>92.024591493690551</v>
      </c>
      <c r="BH36" s="1">
        <f>(BG36*$C$18-CN36)/($C$17-$C$18*AA36)</f>
        <v>88.453056967473557</v>
      </c>
      <c r="BI36" s="1">
        <f>(BH36*$C$18-CO36)/($C$17-$C$18*AB36)</f>
        <v>84.977311811399915</v>
      </c>
      <c r="BJ36" s="1">
        <f>(BI36*$C$18-CP36)/($C$17-$C$18*AC36)</f>
        <v>81.589174632617315</v>
      </c>
      <c r="BK36" s="1">
        <f>(BJ36*$C$18-CQ36)/($C$17-$C$18*AD36)</f>
        <v>78.279438401448644</v>
      </c>
      <c r="BL36" s="1">
        <f>(BK36*$C$18-CR36)/($C$17-$C$18*AE36)</f>
        <v>75.037978387256061</v>
      </c>
      <c r="BM36" s="1">
        <f>(BL36*$C$18-CS36)/($C$17-$C$18*AF36)</f>
        <v>71.853870784380689</v>
      </c>
      <c r="BN36" s="1">
        <f>(BM36*$C$18-CT36)/($C$17-$C$18*AG36)</f>
        <v>68.715520640990064</v>
      </c>
      <c r="BO36" s="1">
        <f>(BN36*$C$18-CU36)/($C$17-$C$18*AH36)</f>
        <v>65.61079759766163</v>
      </c>
      <c r="BP36" s="1">
        <f>(BO36*$C$18-CV36)/($C$17-$C$18*AI36)</f>
        <v>62.527177853718754</v>
      </c>
      <c r="BQ36" s="2"/>
      <c r="BR36" s="2"/>
      <c r="BS36" s="1">
        <f>-$C$10*$C$9*G3/$C$7</f>
        <v>-1076400000</v>
      </c>
      <c r="BT36" s="1">
        <f>-$C$10*$C$9*H3/$C$7</f>
        <v>-1045109385.7533028</v>
      </c>
      <c r="BU36" s="1">
        <f>-$C$10*$C$9*I3/$C$7</f>
        <v>-1013895556.5475086</v>
      </c>
      <c r="BV36" s="1">
        <f>-$C$10*$C$9*J3/$C$7</f>
        <v>-982834395.24029565</v>
      </c>
      <c r="BW36" s="1">
        <f>-$C$10*$C$9*K3/$C$7</f>
        <v>-951999990.99129283</v>
      </c>
      <c r="BX36" s="1">
        <f>-$C$10*$C$9*L3/$C$7</f>
        <v>-921463768.95472562</v>
      </c>
      <c r="BY36" s="1">
        <f>-$C$10*$C$9*M3/$C$7</f>
        <v>-891293651.4616313</v>
      </c>
      <c r="BZ36" s="1">
        <f>-$C$10*$C$9*N3/$C$7</f>
        <v>-861553260.59256577</v>
      </c>
      <c r="CA36" s="1">
        <f>-$C$10*$C$9*O3/$C$7</f>
        <v>-832301171.54134035</v>
      </c>
      <c r="CB36" s="1">
        <f>-$C$10*$C$9*P3/$C$7</f>
        <v>-803590225.55734515</v>
      </c>
      <c r="CC36" s="1">
        <f>-$C$10*$C$9*Q3/$C$7</f>
        <v>-775466910.53640699</v>
      </c>
      <c r="CD36" s="1">
        <f>-$C$10*$C$9*R3/$C$7</f>
        <v>-747970816.51721263</v>
      </c>
      <c r="CE36" s="1">
        <f>-$C$10*$C$9*S3/$C$7</f>
        <v>-721134172.44257939</v>
      </c>
      <c r="CF36" s="1">
        <f>-$C$10*$C$9*T3/$C$7</f>
        <v>-694981469.57368076</v>
      </c>
      <c r="CG36" s="1">
        <f>-$C$10*$C$9*U3/$C$7</f>
        <v>-669529175.9129988</v>
      </c>
      <c r="CH36" s="1">
        <f>-$C$10*$C$9*V3/$C$7</f>
        <v>-644785544.91116273</v>
      </c>
      <c r="CI36" s="1">
        <f>-$C$10*$C$9*W3/$C$7</f>
        <v>-620750520.61721838</v>
      </c>
      <c r="CJ36" s="1">
        <f>-$C$10*$C$9*X3/$C$7</f>
        <v>-597415740.29482901</v>
      </c>
      <c r="CK36" s="1">
        <f>-$C$10*$C$9*Y3/$C$7</f>
        <v>-574764634.38208938</v>
      </c>
      <c r="CL36" s="1">
        <f>-$C$10*$C$9*Z3/$C$7</f>
        <v>-552772622.53349102</v>
      </c>
      <c r="CM36" s="1">
        <f>-$C$10*$C$9*AA3/$C$7</f>
        <v>-531407403.36245465</v>
      </c>
      <c r="CN36" s="1">
        <f>-$C$10*$C$9*AB3/$C$7</f>
        <v>-510629334.4144935</v>
      </c>
      <c r="CO36" s="1">
        <f>-$C$10*$C$9*AC3/$C$7</f>
        <v>-490391897.85684913</v>
      </c>
      <c r="CP36" s="1">
        <f>-$C$10*$C$9*AD3/$C$7</f>
        <v>-470642246.38188362</v>
      </c>
      <c r="CQ36" s="1">
        <f>-$C$10*$C$9*AE3/$C$7</f>
        <v>-451321822.89950025</v>
      </c>
      <c r="CR36" s="1">
        <f>-$C$10*$C$9*AF3/$C$7</f>
        <v>-432367046.74831039</v>
      </c>
      <c r="CS36" s="1">
        <f>-$C$10*$C$9*AG3/$C$7</f>
        <v>-413710058.39518106</v>
      </c>
      <c r="CT36" s="1">
        <f>-$C$10*$C$9*AH3/$C$7</f>
        <v>-395279513.92616922</v>
      </c>
      <c r="CU36" s="1">
        <f>-$C$10*$C$9*AI3/$C$7</f>
        <v>-377001420.06560123</v>
      </c>
      <c r="CV36" s="1">
        <f>-$C$10*$C$9*AJ3/$C$7</f>
        <v>-358800000</v>
      </c>
      <c r="CW36" s="2"/>
      <c r="CX36" s="2"/>
      <c r="CY36" s="1">
        <f>G3</f>
        <v>300</v>
      </c>
      <c r="CZ36" s="1">
        <f t="shared" ref="CZ36:CZ64" si="3">H36*DA36+AN36</f>
        <v>291.30187853019191</v>
      </c>
      <c r="DA36" s="1">
        <f t="shared" ref="DA36:DA64" si="4">I36*DB36+AO36</f>
        <v>282.62488987665483</v>
      </c>
      <c r="DB36" s="1">
        <f t="shared" ref="DB36:DB64" si="5">J36*DC36+AP36</f>
        <v>273.98991857562999</v>
      </c>
      <c r="DC36" s="1">
        <f t="shared" ref="DC36:DC64" si="6">K36*DD36+AQ36</f>
        <v>265.41735553833485</v>
      </c>
      <c r="DD36" s="1">
        <f t="shared" ref="DD36:DD64" si="7">L36*DE36+AR36</f>
        <v>256.92685854049915</v>
      </c>
      <c r="DE36" s="1">
        <f t="shared" ref="DE36:DE64" si="8">M36*DF36+AS36</f>
        <v>248.5371213753123</v>
      </c>
      <c r="DF36" s="1">
        <f t="shared" ref="DF36:DF64" si="9">N36*DG36+AT36</f>
        <v>240.2656543939101</v>
      </c>
      <c r="DG36" s="1">
        <f t="shared" ref="DG36:DG64" si="10">O36*DH36+AU36</f>
        <v>232.12857902001025</v>
      </c>
      <c r="DH36" s="1">
        <f t="shared" ref="DH36:DH64" si="11">P36*DI36+AV36</f>
        <v>224.14043865682652</v>
      </c>
      <c r="DI36" s="1">
        <f t="shared" ref="DI36:DI64" si="12">Q36*DJ36+AW36</f>
        <v>216.31402820713828</v>
      </c>
      <c r="DJ36" s="1">
        <f t="shared" ref="DJ36:DJ64" si="13">R36*DK36+AX36</f>
        <v>208.66024420391773</v>
      </c>
      <c r="DK36" s="1">
        <f t="shared" ref="DK36:DK64" si="14">S36*DL36+AY36</f>
        <v>201.1879573020889</v>
      </c>
      <c r="DL36" s="1">
        <f t="shared" ref="DL36:DL64" si="15">T36*DM36+AZ36</f>
        <v>193.90390861494132</v>
      </c>
      <c r="DM36" s="1">
        <f t="shared" ref="DM36:DM64" si="16">U36*DN36+BA36</f>
        <v>186.81263109481239</v>
      </c>
      <c r="DN36" s="1">
        <f t="shared" ref="DN36:DN64" si="17">V36*DO36+BB36</f>
        <v>179.9163968604168</v>
      </c>
      <c r="DO36" s="1">
        <f t="shared" ref="DO36:DO64" si="18">W36*DP36+BC36</f>
        <v>173.21519106628716</v>
      </c>
      <c r="DP36" s="1">
        <f t="shared" ref="DP36:DP64" si="19">X36*DQ36+BD36</f>
        <v>166.70671259693131</v>
      </c>
      <c r="DQ36" s="1">
        <f t="shared" ref="DQ36:DQ64" si="20">Y36*DR36+BE36</f>
        <v>160.38640155324893</v>
      </c>
      <c r="DR36" s="1">
        <f t="shared" ref="DR36:DR64" si="21">Z36*DS36+BF36</f>
        <v>154.24749318520321</v>
      </c>
      <c r="DS36" s="1">
        <f t="shared" ref="DS36:DS64" si="22">AA36*DT36+BG36</f>
        <v>148.28109761636603</v>
      </c>
      <c r="DT36" s="1">
        <f t="shared" ref="DT36:DT64" si="23">AB36*DU36+BH36</f>
        <v>142.47630440628046</v>
      </c>
      <c r="DU36" s="1">
        <f t="shared" ref="DU36:DU64" si="24">AC36*DV36+BI36</f>
        <v>136.82031070900075</v>
      </c>
      <c r="DV36" s="1">
        <f t="shared" ref="DV36:DV64" si="25">AD36*DW36+BJ36</f>
        <v>131.29857151387827</v>
      </c>
      <c r="DW36" s="1">
        <f t="shared" ref="DW36:DW64" si="26">AE36*DX36+BK36</f>
        <v>125.89497020065409</v>
      </c>
      <c r="DX36" s="1">
        <f t="shared" ref="DX36:DX64" si="27">AF36*DY36+BL36</f>
        <v>120.59200740794032</v>
      </c>
      <c r="DY36" s="1">
        <f t="shared" ref="DY36:DY64" si="28">AG36*DZ36+BM36</f>
        <v>115.37100600471616</v>
      </c>
      <c r="DZ36" s="1">
        <f t="shared" ref="DZ36:DZ64" si="29">AH36*EA36+BN36</f>
        <v>110.21232977073684</v>
      </c>
      <c r="EA36" s="1">
        <f t="shared" ref="EA36:EA64" si="30">AI36*EB36+BO36</f>
        <v>105.09561323567564</v>
      </c>
      <c r="EB36" s="1">
        <f>AJ3</f>
        <v>100</v>
      </c>
    </row>
    <row r="37" spans="4:132">
      <c r="D37" s="3"/>
      <c r="E37" s="3"/>
      <c r="F37" s="1">
        <v>28</v>
      </c>
      <c r="G37" s="1">
        <f>0</f>
        <v>0</v>
      </c>
      <c r="H37" s="1">
        <f>$C$16/($C$17-$C$18*G37)</f>
        <v>0.3415922014622258</v>
      </c>
      <c r="I37" s="1">
        <f>$C$16/($C$17-$C$18*H37)</f>
        <v>0.3867162803971414</v>
      </c>
      <c r="J37" s="1">
        <f>$C$16/($C$17-$C$18*I37)</f>
        <v>0.39358441341045353</v>
      </c>
      <c r="K37" s="1">
        <f>$C$16/($C$17-$C$18*J37)</f>
        <v>0.39465123071155611</v>
      </c>
      <c r="L37" s="1">
        <f>$C$16/($C$17-$C$18*K37)</f>
        <v>0.39481745705771337</v>
      </c>
      <c r="M37" s="1">
        <f>$C$16/($C$17-$C$18*L37)</f>
        <v>0.39484337025824801</v>
      </c>
      <c r="N37" s="1">
        <f>$C$16/($C$17-$C$18*M37)</f>
        <v>0.39484741020089792</v>
      </c>
      <c r="O37" s="1">
        <f>$C$16/($C$17-$C$18*N37)</f>
        <v>0.39484804004704999</v>
      </c>
      <c r="P37" s="1">
        <f>$C$16/($C$17-$C$18*O37)</f>
        <v>0.39484813824322279</v>
      </c>
      <c r="Q37" s="1">
        <f>$C$16/($C$17-$C$18*P37)</f>
        <v>0.39484815355250286</v>
      </c>
      <c r="R37" s="1">
        <f>$C$16/($C$17-$C$18*Q37)</f>
        <v>0.39484815593929717</v>
      </c>
      <c r="S37" s="1">
        <f>$C$16/($C$17-$C$18*R37)</f>
        <v>0.39484815631141046</v>
      </c>
      <c r="T37" s="1">
        <f>$C$16/($C$17-$C$18*S37)</f>
        <v>0.39484815636942483</v>
      </c>
      <c r="U37" s="1">
        <f>$C$16/($C$17-$C$18*T37)</f>
        <v>0.39484815637846954</v>
      </c>
      <c r="V37" s="1">
        <f>$C$16/($C$17-$C$18*U37)</f>
        <v>0.39484815637987963</v>
      </c>
      <c r="W37" s="1">
        <f>$C$16/($C$17-$C$18*V37)</f>
        <v>0.39484815638009951</v>
      </c>
      <c r="X37" s="1">
        <f>$C$16/($C$17-$C$18*W37)</f>
        <v>0.39484815638013382</v>
      </c>
      <c r="Y37" s="1">
        <f>$C$16/($C$17-$C$18*X37)</f>
        <v>0.39484815638013915</v>
      </c>
      <c r="Z37" s="1">
        <f>$C$16/($C$17-$C$18*Y37)</f>
        <v>0.39484815638013998</v>
      </c>
      <c r="AA37" s="1">
        <f>$C$16/($C$17-$C$18*Z37)</f>
        <v>0.39484815638014015</v>
      </c>
      <c r="AB37" s="1">
        <f>$C$16/($C$17-$C$18*AA37)</f>
        <v>0.39484815638014015</v>
      </c>
      <c r="AC37" s="1">
        <f>$C$16/($C$17-$C$18*AB37)</f>
        <v>0.39484815638014015</v>
      </c>
      <c r="AD37" s="1">
        <f>$C$16/($C$17-$C$18*AC37)</f>
        <v>0.39484815638014015</v>
      </c>
      <c r="AE37" s="1">
        <f>$C$16/($C$17-$C$18*AD37)</f>
        <v>0.39484815638014015</v>
      </c>
      <c r="AF37" s="1">
        <f>$C$16/($C$17-$C$18*AE37)</f>
        <v>0.39484815638014015</v>
      </c>
      <c r="AG37" s="1">
        <f>$C$16/($C$17-$C$18*AF37)</f>
        <v>0.39484815638014015</v>
      </c>
      <c r="AH37" s="1">
        <f>$C$16/($C$17-$C$18*AG37)</f>
        <v>0.39484815638014015</v>
      </c>
      <c r="AI37" s="1">
        <f>$C$16/($C$17-$C$18*AH37)</f>
        <v>0.39484815638014015</v>
      </c>
      <c r="AJ37" s="1">
        <f>$C$16/($C$17-$C$18*AI37)</f>
        <v>0.39484815638014015</v>
      </c>
      <c r="AK37" s="2"/>
      <c r="AL37" s="2"/>
      <c r="AM37" s="1">
        <f>G4</f>
        <v>300</v>
      </c>
      <c r="AN37" s="1">
        <f>(AM37*$C$18-BT37)/($C$17-$C$18*G37)</f>
        <v>194.75942020920627</v>
      </c>
      <c r="AO37" s="1">
        <f>(AN37*$C$18-BU37)/($C$17-$C$18*H37)</f>
        <v>176.66852769877156</v>
      </c>
      <c r="AP37" s="1">
        <f>(AO37*$C$18-BV37)/($C$17-$C$18*I37)</f>
        <v>169.52578438712067</v>
      </c>
      <c r="AQ37" s="1">
        <f>(AP37*$C$18-BW37)/($C$17-$C$18*J37)</f>
        <v>164.02085461247299</v>
      </c>
      <c r="AR37" s="1">
        <f>(AQ37*$C$18-BX37)/($C$17-$C$18*K37)</f>
        <v>158.80006429465411</v>
      </c>
      <c r="AS37" s="1">
        <f>(AR37*$C$18-BY37)/($C$17-$C$18*L37)</f>
        <v>153.6698206371174</v>
      </c>
      <c r="AT37" s="1">
        <f>(AS37*$C$18-BZ37)/($C$17-$C$18*M37)</f>
        <v>148.61028613424457</v>
      </c>
      <c r="AU37" s="1">
        <f>(AT37*$C$18-CA37)/($C$17-$C$18*N37)</f>
        <v>143.62716612107627</v>
      </c>
      <c r="AV37" s="1">
        <f>(AU37*$C$18-CB37)/($C$17-$C$18*O37)</f>
        <v>138.729247343346</v>
      </c>
      <c r="AW37" s="1">
        <f>(AV37*$C$18-CC37)/($C$17-$C$18*P37)</f>
        <v>133.92491606340701</v>
      </c>
      <c r="AX37" s="1">
        <f>(AW37*$C$18-CD37)/($C$17-$C$18*Q37)</f>
        <v>129.22155026599387</v>
      </c>
      <c r="AY37" s="1">
        <f>(AX37*$C$18-CE37)/($C$17-$C$18*R37)</f>
        <v>124.6253564839031</v>
      </c>
      <c r="AZ37" s="1">
        <f>(AY37*$C$18-CF37)/($C$17-$C$18*S37)</f>
        <v>120.14128564063314</v>
      </c>
      <c r="BA37" s="1">
        <f>(AZ37*$C$18-CG37)/($C$17-$C$18*T37)</f>
        <v>115.77297349221975</v>
      </c>
      <c r="BB37" s="1">
        <f>(BA37*$C$18-CH37)/($C$17-$C$18*U37)</f>
        <v>111.5226980109047</v>
      </c>
      <c r="BC37" s="1">
        <f>(BB37*$C$18-CI37)/($C$17-$C$18*V37)</f>
        <v>107.39135294120172</v>
      </c>
      <c r="BD37" s="1">
        <f>(BC37*$C$18-CJ37)/($C$17-$C$18*W37)</f>
        <v>103.37843763518713</v>
      </c>
      <c r="BE37" s="1">
        <f>(BD37*$C$18-CK37)/($C$17-$C$18*X37)</f>
        <v>99.482063242813368</v>
      </c>
      <c r="BF37" s="1">
        <f>(BE37*$C$18-CL37)/($C$17-$C$18*Y37)</f>
        <v>95.698975165357524</v>
      </c>
      <c r="BG37" s="1">
        <f>(BF37*$C$18-CM37)/($C$17-$C$18*Z37)</f>
        <v>92.024591493690551</v>
      </c>
      <c r="BH37" s="1">
        <f>(BG37*$C$18-CN37)/($C$17-$C$18*AA37)</f>
        <v>88.453056967473557</v>
      </c>
      <c r="BI37" s="1">
        <f>(BH37*$C$18-CO37)/($C$17-$C$18*AB37)</f>
        <v>84.977311811399915</v>
      </c>
      <c r="BJ37" s="1">
        <f>(BI37*$C$18-CP37)/($C$17-$C$18*AC37)</f>
        <v>81.589174632617315</v>
      </c>
      <c r="BK37" s="1">
        <f>(BJ37*$C$18-CQ37)/($C$17-$C$18*AD37)</f>
        <v>78.279438401448644</v>
      </c>
      <c r="BL37" s="1">
        <f>(BK37*$C$18-CR37)/($C$17-$C$18*AE37)</f>
        <v>75.037978387256061</v>
      </c>
      <c r="BM37" s="1">
        <f>(BL37*$C$18-CS37)/($C$17-$C$18*AF37)</f>
        <v>71.853870784380689</v>
      </c>
      <c r="BN37" s="1">
        <f>(BM37*$C$18-CT37)/($C$17-$C$18*AG37)</f>
        <v>68.715520640990064</v>
      </c>
      <c r="BO37" s="1">
        <f>(BN37*$C$18-CU37)/($C$17-$C$18*AH37)</f>
        <v>65.61079759766163</v>
      </c>
      <c r="BP37" s="1">
        <f>(BO37*$C$18-CV37)/($C$17-$C$18*AI37)</f>
        <v>62.527177853718754</v>
      </c>
      <c r="BQ37" s="2"/>
      <c r="BR37" s="2"/>
      <c r="BS37" s="1">
        <f>-$C$10*$C$9*G4/$C$7</f>
        <v>-1076400000</v>
      </c>
      <c r="BT37" s="1">
        <f>-$C$10*$C$9*H4/$C$7</f>
        <v>-1045109385.7533028</v>
      </c>
      <c r="BU37" s="1">
        <f>-$C$10*$C$9*I4/$C$7</f>
        <v>-1013895556.5475086</v>
      </c>
      <c r="BV37" s="1">
        <f>-$C$10*$C$9*J4/$C$7</f>
        <v>-982834395.24029565</v>
      </c>
      <c r="BW37" s="1">
        <f>-$C$10*$C$9*K4/$C$7</f>
        <v>-951999990.99129283</v>
      </c>
      <c r="BX37" s="1">
        <f>-$C$10*$C$9*L4/$C$7</f>
        <v>-921463768.95472562</v>
      </c>
      <c r="BY37" s="1">
        <f>-$C$10*$C$9*M4/$C$7</f>
        <v>-891293651.4616313</v>
      </c>
      <c r="BZ37" s="1">
        <f>-$C$10*$C$9*N4/$C$7</f>
        <v>-861553260.59256577</v>
      </c>
      <c r="CA37" s="1">
        <f>-$C$10*$C$9*O4/$C$7</f>
        <v>-832301171.54134035</v>
      </c>
      <c r="CB37" s="1">
        <f>-$C$10*$C$9*P4/$C$7</f>
        <v>-803590225.55734515</v>
      </c>
      <c r="CC37" s="1">
        <f>-$C$10*$C$9*Q4/$C$7</f>
        <v>-775466910.53640699</v>
      </c>
      <c r="CD37" s="1">
        <f>-$C$10*$C$9*R4/$C$7</f>
        <v>-747970816.51721263</v>
      </c>
      <c r="CE37" s="1">
        <f>-$C$10*$C$9*S4/$C$7</f>
        <v>-721134172.44257939</v>
      </c>
      <c r="CF37" s="1">
        <f>-$C$10*$C$9*T4/$C$7</f>
        <v>-694981469.57368076</v>
      </c>
      <c r="CG37" s="1">
        <f>-$C$10*$C$9*U4/$C$7</f>
        <v>-669529175.9129988</v>
      </c>
      <c r="CH37" s="1">
        <f>-$C$10*$C$9*V4/$C$7</f>
        <v>-644785544.91116273</v>
      </c>
      <c r="CI37" s="1">
        <f>-$C$10*$C$9*W4/$C$7</f>
        <v>-620750520.61721838</v>
      </c>
      <c r="CJ37" s="1">
        <f>-$C$10*$C$9*X4/$C$7</f>
        <v>-597415740.29482901</v>
      </c>
      <c r="CK37" s="1">
        <f>-$C$10*$C$9*Y4/$C$7</f>
        <v>-574764634.38208938</v>
      </c>
      <c r="CL37" s="1">
        <f>-$C$10*$C$9*Z4/$C$7</f>
        <v>-552772622.53349113</v>
      </c>
      <c r="CM37" s="1">
        <f>-$C$10*$C$9*AA4/$C$7</f>
        <v>-531407403.36245465</v>
      </c>
      <c r="CN37" s="1">
        <f>-$C$10*$C$9*AB4/$C$7</f>
        <v>-510629334.4144935</v>
      </c>
      <c r="CO37" s="1">
        <f>-$C$10*$C$9*AC4/$C$7</f>
        <v>-490391897.85684913</v>
      </c>
      <c r="CP37" s="1">
        <f>-$C$10*$C$9*AD4/$C$7</f>
        <v>-470642246.38188362</v>
      </c>
      <c r="CQ37" s="1">
        <f>-$C$10*$C$9*AE4/$C$7</f>
        <v>-451321822.89950025</v>
      </c>
      <c r="CR37" s="1">
        <f>-$C$10*$C$9*AF4/$C$7</f>
        <v>-432367046.74831039</v>
      </c>
      <c r="CS37" s="1">
        <f>-$C$10*$C$9*AG4/$C$7</f>
        <v>-413710058.39518106</v>
      </c>
      <c r="CT37" s="1">
        <f>-$C$10*$C$9*AH4/$C$7</f>
        <v>-395279513.92616922</v>
      </c>
      <c r="CU37" s="1">
        <f>-$C$10*$C$9*AI4/$C$7</f>
        <v>-377001420.06560123</v>
      </c>
      <c r="CV37" s="1">
        <f>-$C$10*$C$9*AJ4/$C$7</f>
        <v>-358800000</v>
      </c>
      <c r="CW37" s="2"/>
      <c r="CX37" s="2"/>
      <c r="CY37" s="1">
        <f>G4</f>
        <v>300</v>
      </c>
      <c r="CZ37" s="1">
        <f t="shared" si="3"/>
        <v>291.30187853019191</v>
      </c>
      <c r="DA37" s="1">
        <f t="shared" si="4"/>
        <v>282.62488987665483</v>
      </c>
      <c r="DB37" s="1">
        <f t="shared" si="5"/>
        <v>273.98991857562999</v>
      </c>
      <c r="DC37" s="1">
        <f t="shared" si="6"/>
        <v>265.41735553833485</v>
      </c>
      <c r="DD37" s="1">
        <f t="shared" si="7"/>
        <v>256.92685854049915</v>
      </c>
      <c r="DE37" s="1">
        <f t="shared" si="8"/>
        <v>248.5371213753123</v>
      </c>
      <c r="DF37" s="1">
        <f t="shared" si="9"/>
        <v>240.2656543939101</v>
      </c>
      <c r="DG37" s="1">
        <f t="shared" si="10"/>
        <v>232.12857902001025</v>
      </c>
      <c r="DH37" s="1">
        <f t="shared" si="11"/>
        <v>224.14043865682652</v>
      </c>
      <c r="DI37" s="1">
        <f t="shared" si="12"/>
        <v>216.31402820713828</v>
      </c>
      <c r="DJ37" s="1">
        <f t="shared" si="13"/>
        <v>208.66024420391773</v>
      </c>
      <c r="DK37" s="1">
        <f t="shared" si="14"/>
        <v>201.1879573020889</v>
      </c>
      <c r="DL37" s="1">
        <f t="shared" si="15"/>
        <v>193.90390861494132</v>
      </c>
      <c r="DM37" s="1">
        <f t="shared" si="16"/>
        <v>186.81263109481239</v>
      </c>
      <c r="DN37" s="1">
        <f t="shared" si="17"/>
        <v>179.9163968604168</v>
      </c>
      <c r="DO37" s="1">
        <f t="shared" si="18"/>
        <v>173.21519106628716</v>
      </c>
      <c r="DP37" s="1">
        <f t="shared" si="19"/>
        <v>166.70671259693131</v>
      </c>
      <c r="DQ37" s="1">
        <f t="shared" si="20"/>
        <v>160.38640155324893</v>
      </c>
      <c r="DR37" s="1">
        <f t="shared" si="21"/>
        <v>154.24749318520321</v>
      </c>
      <c r="DS37" s="1">
        <f t="shared" si="22"/>
        <v>148.28109761636603</v>
      </c>
      <c r="DT37" s="1">
        <f t="shared" si="23"/>
        <v>142.47630440628046</v>
      </c>
      <c r="DU37" s="1">
        <f t="shared" si="24"/>
        <v>136.82031070900075</v>
      </c>
      <c r="DV37" s="1">
        <f t="shared" si="25"/>
        <v>131.29857151387827</v>
      </c>
      <c r="DW37" s="1">
        <f t="shared" si="26"/>
        <v>125.89497020065409</v>
      </c>
      <c r="DX37" s="1">
        <f t="shared" si="27"/>
        <v>120.59200740794032</v>
      </c>
      <c r="DY37" s="1">
        <f t="shared" si="28"/>
        <v>115.37100600471616</v>
      </c>
      <c r="DZ37" s="1">
        <f t="shared" si="29"/>
        <v>110.21232977073684</v>
      </c>
      <c r="EA37" s="1">
        <f t="shared" si="30"/>
        <v>105.09561323567564</v>
      </c>
      <c r="EB37" s="1">
        <f>AJ4</f>
        <v>100</v>
      </c>
    </row>
    <row r="38" spans="4:132">
      <c r="D38" s="3"/>
      <c r="E38" s="3"/>
      <c r="F38" s="1">
        <v>27</v>
      </c>
      <c r="G38" s="1">
        <f>0</f>
        <v>0</v>
      </c>
      <c r="H38" s="1">
        <f>$C$16/($C$17-$C$18*G38)</f>
        <v>0.3415922014622258</v>
      </c>
      <c r="I38" s="1">
        <f>$C$16/($C$17-$C$18*H38)</f>
        <v>0.3867162803971414</v>
      </c>
      <c r="J38" s="1">
        <f>$C$16/($C$17-$C$18*I38)</f>
        <v>0.39358441341045353</v>
      </c>
      <c r="K38" s="1">
        <f>$C$16/($C$17-$C$18*J38)</f>
        <v>0.39465123071155611</v>
      </c>
      <c r="L38" s="1">
        <f>$C$16/($C$17-$C$18*K38)</f>
        <v>0.39481745705771337</v>
      </c>
      <c r="M38" s="1">
        <f>$C$16/($C$17-$C$18*L38)</f>
        <v>0.39484337025824801</v>
      </c>
      <c r="N38" s="1">
        <f>$C$16/($C$17-$C$18*M38)</f>
        <v>0.39484741020089792</v>
      </c>
      <c r="O38" s="1">
        <f>$C$16/($C$17-$C$18*N38)</f>
        <v>0.39484804004704999</v>
      </c>
      <c r="P38" s="1">
        <f>$C$16/($C$17-$C$18*O38)</f>
        <v>0.39484813824322279</v>
      </c>
      <c r="Q38" s="1">
        <f>$C$16/($C$17-$C$18*P38)</f>
        <v>0.39484815355250286</v>
      </c>
      <c r="R38" s="1">
        <f>$C$16/($C$17-$C$18*Q38)</f>
        <v>0.39484815593929717</v>
      </c>
      <c r="S38" s="1">
        <f>$C$16/($C$17-$C$18*R38)</f>
        <v>0.39484815631141046</v>
      </c>
      <c r="T38" s="1">
        <f>$C$16/($C$17-$C$18*S38)</f>
        <v>0.39484815636942483</v>
      </c>
      <c r="U38" s="1">
        <f>$C$16/($C$17-$C$18*T38)</f>
        <v>0.39484815637846954</v>
      </c>
      <c r="V38" s="1">
        <f>$C$16/($C$17-$C$18*U38)</f>
        <v>0.39484815637987963</v>
      </c>
      <c r="W38" s="1">
        <f>$C$16/($C$17-$C$18*V38)</f>
        <v>0.39484815638009951</v>
      </c>
      <c r="X38" s="1">
        <f>$C$16/($C$17-$C$18*W38)</f>
        <v>0.39484815638013382</v>
      </c>
      <c r="Y38" s="1">
        <f>$C$16/($C$17-$C$18*X38)</f>
        <v>0.39484815638013915</v>
      </c>
      <c r="Z38" s="1">
        <f>$C$16/($C$17-$C$18*Y38)</f>
        <v>0.39484815638013998</v>
      </c>
      <c r="AA38" s="1">
        <f>$C$16/($C$17-$C$18*Z38)</f>
        <v>0.39484815638014015</v>
      </c>
      <c r="AB38" s="1">
        <f>$C$16/($C$17-$C$18*AA38)</f>
        <v>0.39484815638014015</v>
      </c>
      <c r="AC38" s="1">
        <f>$C$16/($C$17-$C$18*AB38)</f>
        <v>0.39484815638014015</v>
      </c>
      <c r="AD38" s="1">
        <f>$C$16/($C$17-$C$18*AC38)</f>
        <v>0.39484815638014015</v>
      </c>
      <c r="AE38" s="1">
        <f>$C$16/($C$17-$C$18*AD38)</f>
        <v>0.39484815638014015</v>
      </c>
      <c r="AF38" s="1">
        <f>$C$16/($C$17-$C$18*AE38)</f>
        <v>0.39484815638014015</v>
      </c>
      <c r="AG38" s="1">
        <f>$C$16/($C$17-$C$18*AF38)</f>
        <v>0.39484815638014015</v>
      </c>
      <c r="AH38" s="1">
        <f>$C$16/($C$17-$C$18*AG38)</f>
        <v>0.39484815638014015</v>
      </c>
      <c r="AI38" s="1">
        <f>$C$16/($C$17-$C$18*AH38)</f>
        <v>0.39484815638014015</v>
      </c>
      <c r="AJ38" s="1">
        <f>$C$16/($C$17-$C$18*AI38)</f>
        <v>0.39484815638014015</v>
      </c>
      <c r="AK38" s="2"/>
      <c r="AL38" s="2"/>
      <c r="AM38" s="1">
        <f>G5</f>
        <v>300</v>
      </c>
      <c r="AN38" s="1">
        <f>(AM38*$C$18-BT38)/($C$17-$C$18*G38)</f>
        <v>194.75942020920627</v>
      </c>
      <c r="AO38" s="1">
        <f>(AN38*$C$18-BU38)/($C$17-$C$18*H38)</f>
        <v>176.66852769877156</v>
      </c>
      <c r="AP38" s="1">
        <f>(AO38*$C$18-BV38)/($C$17-$C$18*I38)</f>
        <v>169.52578438712067</v>
      </c>
      <c r="AQ38" s="1">
        <f>(AP38*$C$18-BW38)/($C$17-$C$18*J38)</f>
        <v>164.02085461247299</v>
      </c>
      <c r="AR38" s="1">
        <f>(AQ38*$C$18-BX38)/($C$17-$C$18*K38)</f>
        <v>158.80006429465411</v>
      </c>
      <c r="AS38" s="1">
        <f>(AR38*$C$18-BY38)/($C$17-$C$18*L38)</f>
        <v>153.6698206371174</v>
      </c>
      <c r="AT38" s="1">
        <f>(AS38*$C$18-BZ38)/($C$17-$C$18*M38)</f>
        <v>148.61028613424457</v>
      </c>
      <c r="AU38" s="1">
        <f>(AT38*$C$18-CA38)/($C$17-$C$18*N38)</f>
        <v>143.62716612107627</v>
      </c>
      <c r="AV38" s="1">
        <f>(AU38*$C$18-CB38)/($C$17-$C$18*O38)</f>
        <v>138.729247343346</v>
      </c>
      <c r="AW38" s="1">
        <f>(AV38*$C$18-CC38)/($C$17-$C$18*P38)</f>
        <v>133.92491606340701</v>
      </c>
      <c r="AX38" s="1">
        <f>(AW38*$C$18-CD38)/($C$17-$C$18*Q38)</f>
        <v>129.22155026599387</v>
      </c>
      <c r="AY38" s="1">
        <f>(AX38*$C$18-CE38)/($C$17-$C$18*R38)</f>
        <v>124.6253564839031</v>
      </c>
      <c r="AZ38" s="1">
        <f>(AY38*$C$18-CF38)/($C$17-$C$18*S38)</f>
        <v>120.14128564063314</v>
      </c>
      <c r="BA38" s="1">
        <f>(AZ38*$C$18-CG38)/($C$17-$C$18*T38)</f>
        <v>115.77297349221975</v>
      </c>
      <c r="BB38" s="1">
        <f>(BA38*$C$18-CH38)/($C$17-$C$18*U38)</f>
        <v>111.5226980109047</v>
      </c>
      <c r="BC38" s="1">
        <f>(BB38*$C$18-CI38)/($C$17-$C$18*V38)</f>
        <v>107.39135294120172</v>
      </c>
      <c r="BD38" s="1">
        <f>(BC38*$C$18-CJ38)/($C$17-$C$18*W38)</f>
        <v>103.37843763518713</v>
      </c>
      <c r="BE38" s="1">
        <f>(BD38*$C$18-CK38)/($C$17-$C$18*X38)</f>
        <v>99.482063242813368</v>
      </c>
      <c r="BF38" s="1">
        <f>(BE38*$C$18-CL38)/($C$17-$C$18*Y38)</f>
        <v>95.698975165357524</v>
      </c>
      <c r="BG38" s="1">
        <f>(BF38*$C$18-CM38)/($C$17-$C$18*Z38)</f>
        <v>92.024591493690551</v>
      </c>
      <c r="BH38" s="1">
        <f>(BG38*$C$18-CN38)/($C$17-$C$18*AA38)</f>
        <v>88.453056967473557</v>
      </c>
      <c r="BI38" s="1">
        <f>(BH38*$C$18-CO38)/($C$17-$C$18*AB38)</f>
        <v>84.977311811399915</v>
      </c>
      <c r="BJ38" s="1">
        <f>(BI38*$C$18-CP38)/($C$17-$C$18*AC38)</f>
        <v>81.589174632617315</v>
      </c>
      <c r="BK38" s="1">
        <f>(BJ38*$C$18-CQ38)/($C$17-$C$18*AD38)</f>
        <v>78.279438401448644</v>
      </c>
      <c r="BL38" s="1">
        <f>(BK38*$C$18-CR38)/($C$17-$C$18*AE38)</f>
        <v>75.037978387256061</v>
      </c>
      <c r="BM38" s="1">
        <f>(BL38*$C$18-CS38)/($C$17-$C$18*AF38)</f>
        <v>71.853870784380689</v>
      </c>
      <c r="BN38" s="1">
        <f>(BM38*$C$18-CT38)/($C$17-$C$18*AG38)</f>
        <v>68.715520640990064</v>
      </c>
      <c r="BO38" s="1">
        <f>(BN38*$C$18-CU38)/($C$17-$C$18*AH38)</f>
        <v>65.61079759766163</v>
      </c>
      <c r="BP38" s="1">
        <f>(BO38*$C$18-CV38)/($C$17-$C$18*AI38)</f>
        <v>62.527177853718754</v>
      </c>
      <c r="BQ38" s="2"/>
      <c r="BR38" s="2"/>
      <c r="BS38" s="1">
        <f>-$C$10*$C$9*G5/$C$7</f>
        <v>-1076400000</v>
      </c>
      <c r="BT38" s="1">
        <f>-$C$10*$C$9*H5/$C$7</f>
        <v>-1045109385.7533028</v>
      </c>
      <c r="BU38" s="1">
        <f>-$C$10*$C$9*I5/$C$7</f>
        <v>-1013895556.5475086</v>
      </c>
      <c r="BV38" s="1">
        <f>-$C$10*$C$9*J5/$C$7</f>
        <v>-982834395.24029565</v>
      </c>
      <c r="BW38" s="1">
        <f>-$C$10*$C$9*K5/$C$7</f>
        <v>-951999990.99129283</v>
      </c>
      <c r="BX38" s="1">
        <f>-$C$10*$C$9*L5/$C$7</f>
        <v>-921463768.95472562</v>
      </c>
      <c r="BY38" s="1">
        <f>-$C$10*$C$9*M5/$C$7</f>
        <v>-891293651.4616313</v>
      </c>
      <c r="BZ38" s="1">
        <f>-$C$10*$C$9*N5/$C$7</f>
        <v>-861553260.59256577</v>
      </c>
      <c r="CA38" s="1">
        <f>-$C$10*$C$9*O5/$C$7</f>
        <v>-832301171.54134035</v>
      </c>
      <c r="CB38" s="1">
        <f>-$C$10*$C$9*P5/$C$7</f>
        <v>-803590225.55734515</v>
      </c>
      <c r="CC38" s="1">
        <f>-$C$10*$C$9*Q5/$C$7</f>
        <v>-775466910.53640699</v>
      </c>
      <c r="CD38" s="1">
        <f>-$C$10*$C$9*R5/$C$7</f>
        <v>-747970816.51721263</v>
      </c>
      <c r="CE38" s="1">
        <f>-$C$10*$C$9*S5/$C$7</f>
        <v>-721134172.44257939</v>
      </c>
      <c r="CF38" s="1">
        <f>-$C$10*$C$9*T5/$C$7</f>
        <v>-694981469.57368076</v>
      </c>
      <c r="CG38" s="1">
        <f>-$C$10*$C$9*U5/$C$7</f>
        <v>-669529175.9129988</v>
      </c>
      <c r="CH38" s="1">
        <f>-$C$10*$C$9*V5/$C$7</f>
        <v>-644785544.91116273</v>
      </c>
      <c r="CI38" s="1">
        <f>-$C$10*$C$9*W5/$C$7</f>
        <v>-620750520.61721838</v>
      </c>
      <c r="CJ38" s="1">
        <f>-$C$10*$C$9*X5/$C$7</f>
        <v>-597415740.29482901</v>
      </c>
      <c r="CK38" s="1">
        <f>-$C$10*$C$9*Y5/$C$7</f>
        <v>-574764634.38208938</v>
      </c>
      <c r="CL38" s="1">
        <f>-$C$10*$C$9*Z5/$C$7</f>
        <v>-552772622.53349113</v>
      </c>
      <c r="CM38" s="1">
        <f>-$C$10*$C$9*AA5/$C$7</f>
        <v>-531407403.36245465</v>
      </c>
      <c r="CN38" s="1">
        <f>-$C$10*$C$9*AB5/$C$7</f>
        <v>-510629334.4144935</v>
      </c>
      <c r="CO38" s="1">
        <f>-$C$10*$C$9*AC5/$C$7</f>
        <v>-490391897.85684913</v>
      </c>
      <c r="CP38" s="1">
        <f>-$C$10*$C$9*AD5/$C$7</f>
        <v>-470642246.38188362</v>
      </c>
      <c r="CQ38" s="1">
        <f>-$C$10*$C$9*AE5/$C$7</f>
        <v>-451321822.89950025</v>
      </c>
      <c r="CR38" s="1">
        <f>-$C$10*$C$9*AF5/$C$7</f>
        <v>-432367046.74831039</v>
      </c>
      <c r="CS38" s="1">
        <f>-$C$10*$C$9*AG5/$C$7</f>
        <v>-413710058.39518106</v>
      </c>
      <c r="CT38" s="1">
        <f>-$C$10*$C$9*AH5/$C$7</f>
        <v>-395279513.92616922</v>
      </c>
      <c r="CU38" s="1">
        <f>-$C$10*$C$9*AI5/$C$7</f>
        <v>-377001420.06560123</v>
      </c>
      <c r="CV38" s="1">
        <f>-$C$10*$C$9*AJ5/$C$7</f>
        <v>-358800000</v>
      </c>
      <c r="CW38" s="2"/>
      <c r="CX38" s="2"/>
      <c r="CY38" s="1">
        <f>G5</f>
        <v>300</v>
      </c>
      <c r="CZ38" s="1">
        <f t="shared" si="3"/>
        <v>291.30187853019191</v>
      </c>
      <c r="DA38" s="1">
        <f t="shared" si="4"/>
        <v>282.62488987665483</v>
      </c>
      <c r="DB38" s="1">
        <f t="shared" si="5"/>
        <v>273.98991857562999</v>
      </c>
      <c r="DC38" s="1">
        <f t="shared" si="6"/>
        <v>265.41735553833485</v>
      </c>
      <c r="DD38" s="1">
        <f t="shared" si="7"/>
        <v>256.92685854049915</v>
      </c>
      <c r="DE38" s="1">
        <f t="shared" si="8"/>
        <v>248.5371213753123</v>
      </c>
      <c r="DF38" s="1">
        <f t="shared" si="9"/>
        <v>240.2656543939101</v>
      </c>
      <c r="DG38" s="1">
        <f t="shared" si="10"/>
        <v>232.12857902001025</v>
      </c>
      <c r="DH38" s="1">
        <f t="shared" si="11"/>
        <v>224.14043865682652</v>
      </c>
      <c r="DI38" s="1">
        <f t="shared" si="12"/>
        <v>216.31402820713828</v>
      </c>
      <c r="DJ38" s="1">
        <f t="shared" si="13"/>
        <v>208.66024420391773</v>
      </c>
      <c r="DK38" s="1">
        <f t="shared" si="14"/>
        <v>201.1879573020889</v>
      </c>
      <c r="DL38" s="1">
        <f t="shared" si="15"/>
        <v>193.90390861494132</v>
      </c>
      <c r="DM38" s="1">
        <f t="shared" si="16"/>
        <v>186.81263109481239</v>
      </c>
      <c r="DN38" s="1">
        <f t="shared" si="17"/>
        <v>179.9163968604168</v>
      </c>
      <c r="DO38" s="1">
        <f t="shared" si="18"/>
        <v>173.21519106628716</v>
      </c>
      <c r="DP38" s="1">
        <f t="shared" si="19"/>
        <v>166.70671259693131</v>
      </c>
      <c r="DQ38" s="1">
        <f t="shared" si="20"/>
        <v>160.38640155324893</v>
      </c>
      <c r="DR38" s="1">
        <f t="shared" si="21"/>
        <v>154.24749318520321</v>
      </c>
      <c r="DS38" s="1">
        <f t="shared" si="22"/>
        <v>148.28109761636603</v>
      </c>
      <c r="DT38" s="1">
        <f t="shared" si="23"/>
        <v>142.47630440628046</v>
      </c>
      <c r="DU38" s="1">
        <f t="shared" si="24"/>
        <v>136.82031070900075</v>
      </c>
      <c r="DV38" s="1">
        <f t="shared" si="25"/>
        <v>131.29857151387827</v>
      </c>
      <c r="DW38" s="1">
        <f t="shared" si="26"/>
        <v>125.89497020065409</v>
      </c>
      <c r="DX38" s="1">
        <f t="shared" si="27"/>
        <v>120.59200740794032</v>
      </c>
      <c r="DY38" s="1">
        <f t="shared" si="28"/>
        <v>115.37100600471616</v>
      </c>
      <c r="DZ38" s="1">
        <f t="shared" si="29"/>
        <v>110.21232977073684</v>
      </c>
      <c r="EA38" s="1">
        <f t="shared" si="30"/>
        <v>105.09561323567564</v>
      </c>
      <c r="EB38" s="1">
        <f>AJ5</f>
        <v>100</v>
      </c>
    </row>
    <row r="39" spans="4:132">
      <c r="D39" s="3"/>
      <c r="E39" s="3"/>
      <c r="F39" s="1">
        <v>26</v>
      </c>
      <c r="G39" s="1">
        <f>0</f>
        <v>0</v>
      </c>
      <c r="H39" s="1">
        <f>$C$16/($C$17-$C$18*G39)</f>
        <v>0.3415922014622258</v>
      </c>
      <c r="I39" s="1">
        <f>$C$16/($C$17-$C$18*H39)</f>
        <v>0.3867162803971414</v>
      </c>
      <c r="J39" s="1">
        <f>$C$16/($C$17-$C$18*I39)</f>
        <v>0.39358441341045353</v>
      </c>
      <c r="K39" s="1">
        <f>$C$16/($C$17-$C$18*J39)</f>
        <v>0.39465123071155611</v>
      </c>
      <c r="L39" s="1">
        <f>$C$16/($C$17-$C$18*K39)</f>
        <v>0.39481745705771337</v>
      </c>
      <c r="M39" s="1">
        <f>$C$16/($C$17-$C$18*L39)</f>
        <v>0.39484337025824801</v>
      </c>
      <c r="N39" s="1">
        <f>$C$16/($C$17-$C$18*M39)</f>
        <v>0.39484741020089792</v>
      </c>
      <c r="O39" s="1">
        <f>$C$16/($C$17-$C$18*N39)</f>
        <v>0.39484804004704999</v>
      </c>
      <c r="P39" s="1">
        <f>$C$16/($C$17-$C$18*O39)</f>
        <v>0.39484813824322279</v>
      </c>
      <c r="Q39" s="1">
        <f>$C$16/($C$17-$C$18*P39)</f>
        <v>0.39484815355250286</v>
      </c>
      <c r="R39" s="1">
        <f>$C$16/($C$17-$C$18*Q39)</f>
        <v>0.39484815593929717</v>
      </c>
      <c r="S39" s="1">
        <f>$C$16/($C$17-$C$18*R39)</f>
        <v>0.39484815631141046</v>
      </c>
      <c r="T39" s="1">
        <f>$C$16/($C$17-$C$18*S39)</f>
        <v>0.39484815636942483</v>
      </c>
      <c r="U39" s="1">
        <f>$C$16/($C$17-$C$18*T39)</f>
        <v>0.39484815637846954</v>
      </c>
      <c r="V39" s="1">
        <f>$C$16/($C$17-$C$18*U39)</f>
        <v>0.39484815637987963</v>
      </c>
      <c r="W39" s="1">
        <f>$C$16/($C$17-$C$18*V39)</f>
        <v>0.39484815638009951</v>
      </c>
      <c r="X39" s="1">
        <f>$C$16/($C$17-$C$18*W39)</f>
        <v>0.39484815638013382</v>
      </c>
      <c r="Y39" s="1">
        <f>$C$16/($C$17-$C$18*X39)</f>
        <v>0.39484815638013915</v>
      </c>
      <c r="Z39" s="1">
        <f>$C$16/($C$17-$C$18*Y39)</f>
        <v>0.39484815638013998</v>
      </c>
      <c r="AA39" s="1">
        <f>$C$16/($C$17-$C$18*Z39)</f>
        <v>0.39484815638014015</v>
      </c>
      <c r="AB39" s="1">
        <f>$C$16/($C$17-$C$18*AA39)</f>
        <v>0.39484815638014015</v>
      </c>
      <c r="AC39" s="1">
        <f>$C$16/($C$17-$C$18*AB39)</f>
        <v>0.39484815638014015</v>
      </c>
      <c r="AD39" s="1">
        <f>$C$16/($C$17-$C$18*AC39)</f>
        <v>0.39484815638014015</v>
      </c>
      <c r="AE39" s="1">
        <f>$C$16/($C$17-$C$18*AD39)</f>
        <v>0.39484815638014015</v>
      </c>
      <c r="AF39" s="1">
        <f>$C$16/($C$17-$C$18*AE39)</f>
        <v>0.39484815638014015</v>
      </c>
      <c r="AG39" s="1">
        <f>$C$16/($C$17-$C$18*AF39)</f>
        <v>0.39484815638014015</v>
      </c>
      <c r="AH39" s="1">
        <f>$C$16/($C$17-$C$18*AG39)</f>
        <v>0.39484815638014015</v>
      </c>
      <c r="AI39" s="1">
        <f>$C$16/($C$17-$C$18*AH39)</f>
        <v>0.39484815638014015</v>
      </c>
      <c r="AJ39" s="1">
        <f>$C$16/($C$17-$C$18*AI39)</f>
        <v>0.39484815638014015</v>
      </c>
      <c r="AK39" s="2"/>
      <c r="AL39" s="2"/>
      <c r="AM39" s="1">
        <f>G6</f>
        <v>300</v>
      </c>
      <c r="AN39" s="1">
        <f>(AM39*$C$18-BT39)/($C$17-$C$18*G39)</f>
        <v>194.75942020920627</v>
      </c>
      <c r="AO39" s="1">
        <f>(AN39*$C$18-BU39)/($C$17-$C$18*H39)</f>
        <v>176.66852769877156</v>
      </c>
      <c r="AP39" s="1">
        <f>(AO39*$C$18-BV39)/($C$17-$C$18*I39)</f>
        <v>169.52578438712067</v>
      </c>
      <c r="AQ39" s="1">
        <f>(AP39*$C$18-BW39)/($C$17-$C$18*J39)</f>
        <v>164.02085461247299</v>
      </c>
      <c r="AR39" s="1">
        <f>(AQ39*$C$18-BX39)/($C$17-$C$18*K39)</f>
        <v>158.80006429465411</v>
      </c>
      <c r="AS39" s="1">
        <f>(AR39*$C$18-BY39)/($C$17-$C$18*L39)</f>
        <v>153.6698206371174</v>
      </c>
      <c r="AT39" s="1">
        <f>(AS39*$C$18-BZ39)/($C$17-$C$18*M39)</f>
        <v>148.61028613424457</v>
      </c>
      <c r="AU39" s="1">
        <f>(AT39*$C$18-CA39)/($C$17-$C$18*N39)</f>
        <v>143.62716612107627</v>
      </c>
      <c r="AV39" s="1">
        <f>(AU39*$C$18-CB39)/($C$17-$C$18*O39)</f>
        <v>138.729247343346</v>
      </c>
      <c r="AW39" s="1">
        <f>(AV39*$C$18-CC39)/($C$17-$C$18*P39)</f>
        <v>133.92491606340701</v>
      </c>
      <c r="AX39" s="1">
        <f>(AW39*$C$18-CD39)/($C$17-$C$18*Q39)</f>
        <v>129.22155026599387</v>
      </c>
      <c r="AY39" s="1">
        <f>(AX39*$C$18-CE39)/($C$17-$C$18*R39)</f>
        <v>124.6253564839031</v>
      </c>
      <c r="AZ39" s="1">
        <f>(AY39*$C$18-CF39)/($C$17-$C$18*S39)</f>
        <v>120.14128564063314</v>
      </c>
      <c r="BA39" s="1">
        <f>(AZ39*$C$18-CG39)/($C$17-$C$18*T39)</f>
        <v>115.77297349221975</v>
      </c>
      <c r="BB39" s="1">
        <f>(BA39*$C$18-CH39)/($C$17-$C$18*U39)</f>
        <v>111.5226980109047</v>
      </c>
      <c r="BC39" s="1">
        <f>(BB39*$C$18-CI39)/($C$17-$C$18*V39)</f>
        <v>107.39135294120172</v>
      </c>
      <c r="BD39" s="1">
        <f>(BC39*$C$18-CJ39)/($C$17-$C$18*W39)</f>
        <v>103.37843763518714</v>
      </c>
      <c r="BE39" s="1">
        <f>(BD39*$C$18-CK39)/($C$17-$C$18*X39)</f>
        <v>99.482063242813396</v>
      </c>
      <c r="BF39" s="1">
        <f>(BE39*$C$18-CL39)/($C$17-$C$18*Y39)</f>
        <v>95.698975165357552</v>
      </c>
      <c r="BG39" s="1">
        <f>(BF39*$C$18-CM39)/($C$17-$C$18*Z39)</f>
        <v>92.024591493690565</v>
      </c>
      <c r="BH39" s="1">
        <f>(BG39*$C$18-CN39)/($C$17-$C$18*AA39)</f>
        <v>88.453056967473572</v>
      </c>
      <c r="BI39" s="1">
        <f>(BH39*$C$18-CO39)/($C$17-$C$18*AB39)</f>
        <v>84.977311811399915</v>
      </c>
      <c r="BJ39" s="1">
        <f>(BI39*$C$18-CP39)/($C$17-$C$18*AC39)</f>
        <v>81.589174632617315</v>
      </c>
      <c r="BK39" s="1">
        <f>(BJ39*$C$18-CQ39)/($C$17-$C$18*AD39)</f>
        <v>78.279438401448644</v>
      </c>
      <c r="BL39" s="1">
        <f>(BK39*$C$18-CR39)/($C$17-$C$18*AE39)</f>
        <v>75.037978387256061</v>
      </c>
      <c r="BM39" s="1">
        <f>(BL39*$C$18-CS39)/($C$17-$C$18*AF39)</f>
        <v>71.853870784380689</v>
      </c>
      <c r="BN39" s="1">
        <f>(BM39*$C$18-CT39)/($C$17-$C$18*AG39)</f>
        <v>68.715520640990064</v>
      </c>
      <c r="BO39" s="1">
        <f>(BN39*$C$18-CU39)/($C$17-$C$18*AH39)</f>
        <v>65.61079759766163</v>
      </c>
      <c r="BP39" s="1">
        <f>(BO39*$C$18-CV39)/($C$17-$C$18*AI39)</f>
        <v>62.527177853718754</v>
      </c>
      <c r="BQ39" s="2"/>
      <c r="BR39" s="2"/>
      <c r="BS39" s="1">
        <f>-$C$10*$C$9*G6/$C$7</f>
        <v>-1076400000</v>
      </c>
      <c r="BT39" s="1">
        <f>-$C$10*$C$9*H6/$C$7</f>
        <v>-1045109385.7533028</v>
      </c>
      <c r="BU39" s="1">
        <f>-$C$10*$C$9*I6/$C$7</f>
        <v>-1013895556.5475086</v>
      </c>
      <c r="BV39" s="1">
        <f>-$C$10*$C$9*J6/$C$7</f>
        <v>-982834395.24029565</v>
      </c>
      <c r="BW39" s="1">
        <f>-$C$10*$C$9*K6/$C$7</f>
        <v>-951999990.99129283</v>
      </c>
      <c r="BX39" s="1">
        <f>-$C$10*$C$9*L6/$C$7</f>
        <v>-921463768.95472562</v>
      </c>
      <c r="BY39" s="1">
        <f>-$C$10*$C$9*M6/$C$7</f>
        <v>-891293651.4616313</v>
      </c>
      <c r="BZ39" s="1">
        <f>-$C$10*$C$9*N6/$C$7</f>
        <v>-861553260.59256577</v>
      </c>
      <c r="CA39" s="1">
        <f>-$C$10*$C$9*O6/$C$7</f>
        <v>-832301171.54134035</v>
      </c>
      <c r="CB39" s="1">
        <f>-$C$10*$C$9*P6/$C$7</f>
        <v>-803590225.55734515</v>
      </c>
      <c r="CC39" s="1">
        <f>-$C$10*$C$9*Q6/$C$7</f>
        <v>-775466910.53640699</v>
      </c>
      <c r="CD39" s="1">
        <f>-$C$10*$C$9*R6/$C$7</f>
        <v>-747970816.51721263</v>
      </c>
      <c r="CE39" s="1">
        <f>-$C$10*$C$9*S6/$C$7</f>
        <v>-721134172.44257939</v>
      </c>
      <c r="CF39" s="1">
        <f>-$C$10*$C$9*T6/$C$7</f>
        <v>-694981469.57368088</v>
      </c>
      <c r="CG39" s="1">
        <f>-$C$10*$C$9*U6/$C$7</f>
        <v>-669529175.9129988</v>
      </c>
      <c r="CH39" s="1">
        <f>-$C$10*$C$9*V6/$C$7</f>
        <v>-644785544.91116273</v>
      </c>
      <c r="CI39" s="1">
        <f>-$C$10*$C$9*W6/$C$7</f>
        <v>-620750520.61721838</v>
      </c>
      <c r="CJ39" s="1">
        <f>-$C$10*$C$9*X6/$C$7</f>
        <v>-597415740.29482913</v>
      </c>
      <c r="CK39" s="1">
        <f>-$C$10*$C$9*Y6/$C$7</f>
        <v>-574764634.3820895</v>
      </c>
      <c r="CL39" s="1">
        <f>-$C$10*$C$9*Z6/$C$7</f>
        <v>-552772622.53349113</v>
      </c>
      <c r="CM39" s="1">
        <f>-$C$10*$C$9*AA6/$C$7</f>
        <v>-531407403.36245477</v>
      </c>
      <c r="CN39" s="1">
        <f>-$C$10*$C$9*AB6/$C$7</f>
        <v>-510629334.41449356</v>
      </c>
      <c r="CO39" s="1">
        <f>-$C$10*$C$9*AC6/$C$7</f>
        <v>-490391897.85684913</v>
      </c>
      <c r="CP39" s="1">
        <f>-$C$10*$C$9*AD6/$C$7</f>
        <v>-470642246.38188362</v>
      </c>
      <c r="CQ39" s="1">
        <f>-$C$10*$C$9*AE6/$C$7</f>
        <v>-451321822.89950025</v>
      </c>
      <c r="CR39" s="1">
        <f>-$C$10*$C$9*AF6/$C$7</f>
        <v>-432367046.74831039</v>
      </c>
      <c r="CS39" s="1">
        <f>-$C$10*$C$9*AG6/$C$7</f>
        <v>-413710058.39518106</v>
      </c>
      <c r="CT39" s="1">
        <f>-$C$10*$C$9*AH6/$C$7</f>
        <v>-395279513.92616922</v>
      </c>
      <c r="CU39" s="1">
        <f>-$C$10*$C$9*AI6/$C$7</f>
        <v>-377001420.06560123</v>
      </c>
      <c r="CV39" s="1">
        <f>-$C$10*$C$9*AJ6/$C$7</f>
        <v>-358800000</v>
      </c>
      <c r="CW39" s="2"/>
      <c r="CX39" s="2"/>
      <c r="CY39" s="1">
        <f>G6</f>
        <v>300</v>
      </c>
      <c r="CZ39" s="1">
        <f t="shared" si="3"/>
        <v>291.30187853019191</v>
      </c>
      <c r="DA39" s="1">
        <f t="shared" si="4"/>
        <v>282.62488987665483</v>
      </c>
      <c r="DB39" s="1">
        <f t="shared" si="5"/>
        <v>273.98991857562999</v>
      </c>
      <c r="DC39" s="1">
        <f t="shared" si="6"/>
        <v>265.41735553833485</v>
      </c>
      <c r="DD39" s="1">
        <f t="shared" si="7"/>
        <v>256.92685854049915</v>
      </c>
      <c r="DE39" s="1">
        <f t="shared" si="8"/>
        <v>248.5371213753123</v>
      </c>
      <c r="DF39" s="1">
        <f t="shared" si="9"/>
        <v>240.2656543939101</v>
      </c>
      <c r="DG39" s="1">
        <f t="shared" si="10"/>
        <v>232.12857902001025</v>
      </c>
      <c r="DH39" s="1">
        <f t="shared" si="11"/>
        <v>224.14043865682652</v>
      </c>
      <c r="DI39" s="1">
        <f t="shared" si="12"/>
        <v>216.31402820713828</v>
      </c>
      <c r="DJ39" s="1">
        <f t="shared" si="13"/>
        <v>208.66024420391773</v>
      </c>
      <c r="DK39" s="1">
        <f t="shared" si="14"/>
        <v>201.1879573020889</v>
      </c>
      <c r="DL39" s="1">
        <f t="shared" si="15"/>
        <v>193.90390861494132</v>
      </c>
      <c r="DM39" s="1">
        <f t="shared" si="16"/>
        <v>186.81263109481239</v>
      </c>
      <c r="DN39" s="1">
        <f t="shared" si="17"/>
        <v>179.9163968604168</v>
      </c>
      <c r="DO39" s="1">
        <f t="shared" si="18"/>
        <v>173.21519106628716</v>
      </c>
      <c r="DP39" s="1">
        <f t="shared" si="19"/>
        <v>166.70671259693134</v>
      </c>
      <c r="DQ39" s="1">
        <f t="shared" si="20"/>
        <v>160.38640155324899</v>
      </c>
      <c r="DR39" s="1">
        <f t="shared" si="21"/>
        <v>154.24749318520327</v>
      </c>
      <c r="DS39" s="1">
        <f t="shared" si="22"/>
        <v>148.28109761636605</v>
      </c>
      <c r="DT39" s="1">
        <f t="shared" si="23"/>
        <v>142.47630440628046</v>
      </c>
      <c r="DU39" s="1">
        <f t="shared" si="24"/>
        <v>136.82031070900075</v>
      </c>
      <c r="DV39" s="1">
        <f t="shared" si="25"/>
        <v>131.29857151387827</v>
      </c>
      <c r="DW39" s="1">
        <f t="shared" si="26"/>
        <v>125.89497020065409</v>
      </c>
      <c r="DX39" s="1">
        <f t="shared" si="27"/>
        <v>120.59200740794032</v>
      </c>
      <c r="DY39" s="1">
        <f t="shared" si="28"/>
        <v>115.37100600471616</v>
      </c>
      <c r="DZ39" s="1">
        <f t="shared" si="29"/>
        <v>110.21232977073684</v>
      </c>
      <c r="EA39" s="1">
        <f t="shared" si="30"/>
        <v>105.09561323567564</v>
      </c>
      <c r="EB39" s="1">
        <f>AJ6</f>
        <v>100</v>
      </c>
    </row>
    <row r="40" spans="4:132">
      <c r="D40" s="3"/>
      <c r="E40" s="3"/>
      <c r="F40" s="1">
        <v>25</v>
      </c>
      <c r="G40" s="1">
        <f>0</f>
        <v>0</v>
      </c>
      <c r="H40" s="1">
        <f>$C$16/($C$17-$C$18*G40)</f>
        <v>0.3415922014622258</v>
      </c>
      <c r="I40" s="1">
        <f>$C$16/($C$17-$C$18*H40)</f>
        <v>0.3867162803971414</v>
      </c>
      <c r="J40" s="1">
        <f>$C$16/($C$17-$C$18*I40)</f>
        <v>0.39358441341045353</v>
      </c>
      <c r="K40" s="1">
        <f>$C$16/($C$17-$C$18*J40)</f>
        <v>0.39465123071155611</v>
      </c>
      <c r="L40" s="1">
        <f>$C$16/($C$17-$C$18*K40)</f>
        <v>0.39481745705771337</v>
      </c>
      <c r="M40" s="1">
        <f>$C$16/($C$17-$C$18*L40)</f>
        <v>0.39484337025824801</v>
      </c>
      <c r="N40" s="1">
        <f>$C$16/($C$17-$C$18*M40)</f>
        <v>0.39484741020089792</v>
      </c>
      <c r="O40" s="1">
        <f>$C$16/($C$17-$C$18*N40)</f>
        <v>0.39484804004704999</v>
      </c>
      <c r="P40" s="1">
        <f>$C$16/($C$17-$C$18*O40)</f>
        <v>0.39484813824322279</v>
      </c>
      <c r="Q40" s="1">
        <f>$C$16/($C$17-$C$18*P40)</f>
        <v>0.39484815355250286</v>
      </c>
      <c r="R40" s="1">
        <f>$C$16/($C$17-$C$18*Q40)</f>
        <v>0.39484815593929717</v>
      </c>
      <c r="S40" s="1">
        <f>$C$16/($C$17-$C$18*R40)</f>
        <v>0.39484815631141046</v>
      </c>
      <c r="T40" s="1">
        <f>$C$16/($C$17-$C$18*S40)</f>
        <v>0.39484815636942483</v>
      </c>
      <c r="U40" s="1">
        <f>$C$16/($C$17-$C$18*T40)</f>
        <v>0.39484815637846954</v>
      </c>
      <c r="V40" s="1">
        <f>$C$16/($C$17-$C$18*U40)</f>
        <v>0.39484815637987963</v>
      </c>
      <c r="W40" s="1">
        <f>$C$16/($C$17-$C$18*V40)</f>
        <v>0.39484815638009951</v>
      </c>
      <c r="X40" s="1">
        <f>$C$16/($C$17-$C$18*W40)</f>
        <v>0.39484815638013382</v>
      </c>
      <c r="Y40" s="1">
        <f>$C$16/($C$17-$C$18*X40)</f>
        <v>0.39484815638013915</v>
      </c>
      <c r="Z40" s="1">
        <f>$C$16/($C$17-$C$18*Y40)</f>
        <v>0.39484815638013998</v>
      </c>
      <c r="AA40" s="1">
        <f>$C$16/($C$17-$C$18*Z40)</f>
        <v>0.39484815638014015</v>
      </c>
      <c r="AB40" s="1">
        <f>$C$16/($C$17-$C$18*AA40)</f>
        <v>0.39484815638014015</v>
      </c>
      <c r="AC40" s="1">
        <f>$C$16/($C$17-$C$18*AB40)</f>
        <v>0.39484815638014015</v>
      </c>
      <c r="AD40" s="1">
        <f>$C$16/($C$17-$C$18*AC40)</f>
        <v>0.39484815638014015</v>
      </c>
      <c r="AE40" s="1">
        <f>$C$16/($C$17-$C$18*AD40)</f>
        <v>0.39484815638014015</v>
      </c>
      <c r="AF40" s="1">
        <f>$C$16/($C$17-$C$18*AE40)</f>
        <v>0.39484815638014015</v>
      </c>
      <c r="AG40" s="1">
        <f>$C$16/($C$17-$C$18*AF40)</f>
        <v>0.39484815638014015</v>
      </c>
      <c r="AH40" s="1">
        <f>$C$16/($C$17-$C$18*AG40)</f>
        <v>0.39484815638014015</v>
      </c>
      <c r="AI40" s="1">
        <f>$C$16/($C$17-$C$18*AH40)</f>
        <v>0.39484815638014015</v>
      </c>
      <c r="AJ40" s="1">
        <f>$C$16/($C$17-$C$18*AI40)</f>
        <v>0.39484815638014015</v>
      </c>
      <c r="AK40" s="2"/>
      <c r="AL40" s="2"/>
      <c r="AM40" s="1">
        <f>G7</f>
        <v>300</v>
      </c>
      <c r="AN40" s="1">
        <f>(AM40*$C$18-BT40)/($C$17-$C$18*G40)</f>
        <v>194.75942020920627</v>
      </c>
      <c r="AO40" s="1">
        <f>(AN40*$C$18-BU40)/($C$17-$C$18*H40)</f>
        <v>176.66852769877156</v>
      </c>
      <c r="AP40" s="1">
        <f>(AO40*$C$18-BV40)/($C$17-$C$18*I40)</f>
        <v>169.52578438712067</v>
      </c>
      <c r="AQ40" s="1">
        <f>(AP40*$C$18-BW40)/($C$17-$C$18*J40)</f>
        <v>164.02085461247299</v>
      </c>
      <c r="AR40" s="1">
        <f>(AQ40*$C$18-BX40)/($C$17-$C$18*K40)</f>
        <v>158.80006429465411</v>
      </c>
      <c r="AS40" s="1">
        <f>(AR40*$C$18-BY40)/($C$17-$C$18*L40)</f>
        <v>153.6698206371174</v>
      </c>
      <c r="AT40" s="1">
        <f>(AS40*$C$18-BZ40)/($C$17-$C$18*M40)</f>
        <v>148.61028613424457</v>
      </c>
      <c r="AU40" s="1">
        <f>(AT40*$C$18-CA40)/($C$17-$C$18*N40)</f>
        <v>143.6271661210763</v>
      </c>
      <c r="AV40" s="1">
        <f>(AU40*$C$18-CB40)/($C$17-$C$18*O40)</f>
        <v>138.72924734334603</v>
      </c>
      <c r="AW40" s="1">
        <f>(AV40*$C$18-CC40)/($C$17-$C$18*P40)</f>
        <v>133.92491606340704</v>
      </c>
      <c r="AX40" s="1">
        <f>(AW40*$C$18-CD40)/($C$17-$C$18*Q40)</f>
        <v>129.22155026599387</v>
      </c>
      <c r="AY40" s="1">
        <f>(AX40*$C$18-CE40)/($C$17-$C$18*R40)</f>
        <v>124.6253564839031</v>
      </c>
      <c r="AZ40" s="1">
        <f>(AY40*$C$18-CF40)/($C$17-$C$18*S40)</f>
        <v>120.14128564063314</v>
      </c>
      <c r="BA40" s="1">
        <f>(AZ40*$C$18-CG40)/($C$17-$C$18*T40)</f>
        <v>115.77297349221975</v>
      </c>
      <c r="BB40" s="1">
        <f>(BA40*$C$18-CH40)/($C$17-$C$18*U40)</f>
        <v>111.52269801090473</v>
      </c>
      <c r="BC40" s="1">
        <f>(BB40*$C$18-CI40)/($C$17-$C$18*V40)</f>
        <v>107.39135294120172</v>
      </c>
      <c r="BD40" s="1">
        <f>(BC40*$C$18-CJ40)/($C$17-$C$18*W40)</f>
        <v>103.37843763518715</v>
      </c>
      <c r="BE40" s="1">
        <f>(BD40*$C$18-CK40)/($C$17-$C$18*X40)</f>
        <v>99.482063242813396</v>
      </c>
      <c r="BF40" s="1">
        <f>(BE40*$C$18-CL40)/($C$17-$C$18*Y40)</f>
        <v>95.698975165357552</v>
      </c>
      <c r="BG40" s="1">
        <f>(BF40*$C$18-CM40)/($C$17-$C$18*Z40)</f>
        <v>92.024591493690579</v>
      </c>
      <c r="BH40" s="1">
        <f>(BG40*$C$18-CN40)/($C$17-$C$18*AA40)</f>
        <v>88.453056967473586</v>
      </c>
      <c r="BI40" s="1">
        <f>(BH40*$C$18-CO40)/($C$17-$C$18*AB40)</f>
        <v>84.977311811399943</v>
      </c>
      <c r="BJ40" s="1">
        <f>(BI40*$C$18-CP40)/($C$17-$C$18*AC40)</f>
        <v>81.589174632617343</v>
      </c>
      <c r="BK40" s="1">
        <f>(BJ40*$C$18-CQ40)/($C$17-$C$18*AD40)</f>
        <v>78.279438401448658</v>
      </c>
      <c r="BL40" s="1">
        <f>(BK40*$C$18-CR40)/($C$17-$C$18*AE40)</f>
        <v>75.037978387256075</v>
      </c>
      <c r="BM40" s="1">
        <f>(BL40*$C$18-CS40)/($C$17-$C$18*AF40)</f>
        <v>71.853870784380703</v>
      </c>
      <c r="BN40" s="1">
        <f>(BM40*$C$18-CT40)/($C$17-$C$18*AG40)</f>
        <v>68.715520640990064</v>
      </c>
      <c r="BO40" s="1">
        <f>(BN40*$C$18-CU40)/($C$17-$C$18*AH40)</f>
        <v>65.61079759766163</v>
      </c>
      <c r="BP40" s="1">
        <f>(BO40*$C$18-CV40)/($C$17-$C$18*AI40)</f>
        <v>62.527177853718754</v>
      </c>
      <c r="BQ40" s="2"/>
      <c r="BR40" s="2"/>
      <c r="BS40" s="1">
        <f>-$C$10*$C$9*G7/$C$7</f>
        <v>-1076400000</v>
      </c>
      <c r="BT40" s="1">
        <f>-$C$10*$C$9*H7/$C$7</f>
        <v>-1045109385.7533028</v>
      </c>
      <c r="BU40" s="1">
        <f>-$C$10*$C$9*I7/$C$7</f>
        <v>-1013895556.5475086</v>
      </c>
      <c r="BV40" s="1">
        <f>-$C$10*$C$9*J7/$C$7</f>
        <v>-982834395.24029565</v>
      </c>
      <c r="BW40" s="1">
        <f>-$C$10*$C$9*K7/$C$7</f>
        <v>-951999990.99129283</v>
      </c>
      <c r="BX40" s="1">
        <f>-$C$10*$C$9*L7/$C$7</f>
        <v>-921463768.95472562</v>
      </c>
      <c r="BY40" s="1">
        <f>-$C$10*$C$9*M7/$C$7</f>
        <v>-891293651.4616313</v>
      </c>
      <c r="BZ40" s="1">
        <f>-$C$10*$C$9*N7/$C$7</f>
        <v>-861553260.59256577</v>
      </c>
      <c r="CA40" s="1">
        <f>-$C$10*$C$9*O7/$C$7</f>
        <v>-832301171.54134047</v>
      </c>
      <c r="CB40" s="1">
        <f>-$C$10*$C$9*P7/$C$7</f>
        <v>-803590225.55734527</v>
      </c>
      <c r="CC40" s="1">
        <f>-$C$10*$C$9*Q7/$C$7</f>
        <v>-775466910.53640711</v>
      </c>
      <c r="CD40" s="1">
        <f>-$C$10*$C$9*R7/$C$7</f>
        <v>-747970816.51721263</v>
      </c>
      <c r="CE40" s="1">
        <f>-$C$10*$C$9*S7/$C$7</f>
        <v>-721134172.44257939</v>
      </c>
      <c r="CF40" s="1">
        <f>-$C$10*$C$9*T7/$C$7</f>
        <v>-694981469.57368088</v>
      </c>
      <c r="CG40" s="1">
        <f>-$C$10*$C$9*U7/$C$7</f>
        <v>-669529175.9129988</v>
      </c>
      <c r="CH40" s="1">
        <f>-$C$10*$C$9*V7/$C$7</f>
        <v>-644785544.91116285</v>
      </c>
      <c r="CI40" s="1">
        <f>-$C$10*$C$9*W7/$C$7</f>
        <v>-620750520.61721838</v>
      </c>
      <c r="CJ40" s="1">
        <f>-$C$10*$C$9*X7/$C$7</f>
        <v>-597415740.29482925</v>
      </c>
      <c r="CK40" s="1">
        <f>-$C$10*$C$9*Y7/$C$7</f>
        <v>-574764634.3820895</v>
      </c>
      <c r="CL40" s="1">
        <f>-$C$10*$C$9*Z7/$C$7</f>
        <v>-552772622.53349125</v>
      </c>
      <c r="CM40" s="1">
        <f>-$C$10*$C$9*AA7/$C$7</f>
        <v>-531407403.36245489</v>
      </c>
      <c r="CN40" s="1">
        <f>-$C$10*$C$9*AB7/$C$7</f>
        <v>-510629334.41449368</v>
      </c>
      <c r="CO40" s="1">
        <f>-$C$10*$C$9*AC7/$C$7</f>
        <v>-490391897.85684931</v>
      </c>
      <c r="CP40" s="1">
        <f>-$C$10*$C$9*AD7/$C$7</f>
        <v>-470642246.38188368</v>
      </c>
      <c r="CQ40" s="1">
        <f>-$C$10*$C$9*AE7/$C$7</f>
        <v>-451321822.89950031</v>
      </c>
      <c r="CR40" s="1">
        <f>-$C$10*$C$9*AF7/$C$7</f>
        <v>-432367046.74831039</v>
      </c>
      <c r="CS40" s="1">
        <f>-$C$10*$C$9*AG7/$C$7</f>
        <v>-413710058.39518112</v>
      </c>
      <c r="CT40" s="1">
        <f>-$C$10*$C$9*AH7/$C$7</f>
        <v>-395279513.92616928</v>
      </c>
      <c r="CU40" s="1">
        <f>-$C$10*$C$9*AI7/$C$7</f>
        <v>-377001420.06560123</v>
      </c>
      <c r="CV40" s="1">
        <f>-$C$10*$C$9*AJ7/$C$7</f>
        <v>-358800000</v>
      </c>
      <c r="CW40" s="2"/>
      <c r="CX40" s="2"/>
      <c r="CY40" s="1">
        <f>G7</f>
        <v>300</v>
      </c>
      <c r="CZ40" s="1">
        <f t="shared" si="3"/>
        <v>291.30187853019191</v>
      </c>
      <c r="DA40" s="1">
        <f t="shared" si="4"/>
        <v>282.62488987665483</v>
      </c>
      <c r="DB40" s="1">
        <f t="shared" si="5"/>
        <v>273.98991857562999</v>
      </c>
      <c r="DC40" s="1">
        <f t="shared" si="6"/>
        <v>265.4173555383349</v>
      </c>
      <c r="DD40" s="1">
        <f t="shared" si="7"/>
        <v>256.92685854049921</v>
      </c>
      <c r="DE40" s="1">
        <f t="shared" si="8"/>
        <v>248.53712137531232</v>
      </c>
      <c r="DF40" s="1">
        <f t="shared" si="9"/>
        <v>240.26565439391013</v>
      </c>
      <c r="DG40" s="1">
        <f t="shared" si="10"/>
        <v>232.12857902001031</v>
      </c>
      <c r="DH40" s="1">
        <f t="shared" si="11"/>
        <v>224.14043865682657</v>
      </c>
      <c r="DI40" s="1">
        <f t="shared" si="12"/>
        <v>216.31402820713828</v>
      </c>
      <c r="DJ40" s="1">
        <f t="shared" si="13"/>
        <v>208.66024420391773</v>
      </c>
      <c r="DK40" s="1">
        <f t="shared" si="14"/>
        <v>201.1879573020889</v>
      </c>
      <c r="DL40" s="1">
        <f t="shared" si="15"/>
        <v>193.90390861494132</v>
      </c>
      <c r="DM40" s="1">
        <f t="shared" si="16"/>
        <v>186.81263109481239</v>
      </c>
      <c r="DN40" s="1">
        <f t="shared" si="17"/>
        <v>179.9163968604168</v>
      </c>
      <c r="DO40" s="1">
        <f t="shared" si="18"/>
        <v>173.21519106628716</v>
      </c>
      <c r="DP40" s="1">
        <f t="shared" si="19"/>
        <v>166.70671259693134</v>
      </c>
      <c r="DQ40" s="1">
        <f t="shared" si="20"/>
        <v>160.38640155324899</v>
      </c>
      <c r="DR40" s="1">
        <f t="shared" si="21"/>
        <v>154.24749318520327</v>
      </c>
      <c r="DS40" s="1">
        <f t="shared" si="22"/>
        <v>148.28109761636608</v>
      </c>
      <c r="DT40" s="1">
        <f t="shared" si="23"/>
        <v>142.47630440628049</v>
      </c>
      <c r="DU40" s="1">
        <f t="shared" si="24"/>
        <v>136.82031070900078</v>
      </c>
      <c r="DV40" s="1">
        <f t="shared" si="25"/>
        <v>131.2985715138783</v>
      </c>
      <c r="DW40" s="1">
        <f t="shared" si="26"/>
        <v>125.89497020065411</v>
      </c>
      <c r="DX40" s="1">
        <f t="shared" si="27"/>
        <v>120.59200740794034</v>
      </c>
      <c r="DY40" s="1">
        <f t="shared" si="28"/>
        <v>115.37100600471618</v>
      </c>
      <c r="DZ40" s="1">
        <f t="shared" si="29"/>
        <v>110.21232977073684</v>
      </c>
      <c r="EA40" s="1">
        <f t="shared" si="30"/>
        <v>105.09561323567564</v>
      </c>
      <c r="EB40" s="1">
        <f>AJ7</f>
        <v>100</v>
      </c>
    </row>
    <row r="41" spans="4:132">
      <c r="D41" s="3"/>
      <c r="E41" s="3"/>
      <c r="F41" s="1">
        <v>24</v>
      </c>
      <c r="G41" s="1">
        <f>0</f>
        <v>0</v>
      </c>
      <c r="H41" s="1">
        <f>$C$16/($C$17-$C$18*G41)</f>
        <v>0.3415922014622258</v>
      </c>
      <c r="I41" s="1">
        <f>$C$16/($C$17-$C$18*H41)</f>
        <v>0.3867162803971414</v>
      </c>
      <c r="J41" s="1">
        <f>$C$16/($C$17-$C$18*I41)</f>
        <v>0.39358441341045353</v>
      </c>
      <c r="K41" s="1">
        <f>$C$16/($C$17-$C$18*J41)</f>
        <v>0.39465123071155611</v>
      </c>
      <c r="L41" s="1">
        <f>$C$16/($C$17-$C$18*K41)</f>
        <v>0.39481745705771337</v>
      </c>
      <c r="M41" s="1">
        <f>$C$16/($C$17-$C$18*L41)</f>
        <v>0.39484337025824801</v>
      </c>
      <c r="N41" s="1">
        <f>$C$16/($C$17-$C$18*M41)</f>
        <v>0.39484741020089792</v>
      </c>
      <c r="O41" s="1">
        <f>$C$16/($C$17-$C$18*N41)</f>
        <v>0.39484804004704999</v>
      </c>
      <c r="P41" s="1">
        <f>$C$16/($C$17-$C$18*O41)</f>
        <v>0.39484813824322279</v>
      </c>
      <c r="Q41" s="1">
        <f>$C$16/($C$17-$C$18*P41)</f>
        <v>0.39484815355250286</v>
      </c>
      <c r="R41" s="1">
        <f>$C$16/($C$17-$C$18*Q41)</f>
        <v>0.39484815593929717</v>
      </c>
      <c r="S41" s="1">
        <f>$C$16/($C$17-$C$18*R41)</f>
        <v>0.39484815631141046</v>
      </c>
      <c r="T41" s="1">
        <f>$C$16/($C$17-$C$18*S41)</f>
        <v>0.39484815636942483</v>
      </c>
      <c r="U41" s="1">
        <f>$C$16/($C$17-$C$18*T41)</f>
        <v>0.39484815637846954</v>
      </c>
      <c r="V41" s="1">
        <f>$C$16/($C$17-$C$18*U41)</f>
        <v>0.39484815637987963</v>
      </c>
      <c r="W41" s="1">
        <f>$C$16/($C$17-$C$18*V41)</f>
        <v>0.39484815638009951</v>
      </c>
      <c r="X41" s="1">
        <f>$C$16/($C$17-$C$18*W41)</f>
        <v>0.39484815638013382</v>
      </c>
      <c r="Y41" s="1">
        <f>$C$16/($C$17-$C$18*X41)</f>
        <v>0.39484815638013915</v>
      </c>
      <c r="Z41" s="1">
        <f>$C$16/($C$17-$C$18*Y41)</f>
        <v>0.39484815638013998</v>
      </c>
      <c r="AA41" s="1">
        <f>$C$16/($C$17-$C$18*Z41)</f>
        <v>0.39484815638014015</v>
      </c>
      <c r="AB41" s="1">
        <f>$C$16/($C$17-$C$18*AA41)</f>
        <v>0.39484815638014015</v>
      </c>
      <c r="AC41" s="1">
        <f>$C$16/($C$17-$C$18*AB41)</f>
        <v>0.39484815638014015</v>
      </c>
      <c r="AD41" s="1">
        <f>$C$16/($C$17-$C$18*AC41)</f>
        <v>0.39484815638014015</v>
      </c>
      <c r="AE41" s="1">
        <f>$C$16/($C$17-$C$18*AD41)</f>
        <v>0.39484815638014015</v>
      </c>
      <c r="AF41" s="1">
        <f>$C$16/($C$17-$C$18*AE41)</f>
        <v>0.39484815638014015</v>
      </c>
      <c r="AG41" s="1">
        <f>$C$16/($C$17-$C$18*AF41)</f>
        <v>0.39484815638014015</v>
      </c>
      <c r="AH41" s="1">
        <f>$C$16/($C$17-$C$18*AG41)</f>
        <v>0.39484815638014015</v>
      </c>
      <c r="AI41" s="1">
        <f>$C$16/($C$17-$C$18*AH41)</f>
        <v>0.39484815638014015</v>
      </c>
      <c r="AJ41" s="1">
        <f>$C$16/($C$17-$C$18*AI41)</f>
        <v>0.39484815638014015</v>
      </c>
      <c r="AK41" s="2"/>
      <c r="AL41" s="2"/>
      <c r="AM41" s="1">
        <f>G8</f>
        <v>300</v>
      </c>
      <c r="AN41" s="1">
        <f>(AM41*$C$18-BT41)/($C$17-$C$18*G41)</f>
        <v>194.75942020920627</v>
      </c>
      <c r="AO41" s="1">
        <f>(AN41*$C$18-BU41)/($C$17-$C$18*H41)</f>
        <v>176.66852769877156</v>
      </c>
      <c r="AP41" s="1">
        <f>(AO41*$C$18-BV41)/($C$17-$C$18*I41)</f>
        <v>169.52578438712067</v>
      </c>
      <c r="AQ41" s="1">
        <f>(AP41*$C$18-BW41)/($C$17-$C$18*J41)</f>
        <v>164.02085461247299</v>
      </c>
      <c r="AR41" s="1">
        <f>(AQ41*$C$18-BX41)/($C$17-$C$18*K41)</f>
        <v>158.80006429465411</v>
      </c>
      <c r="AS41" s="1">
        <f>(AR41*$C$18-BY41)/($C$17-$C$18*L41)</f>
        <v>153.66982063711743</v>
      </c>
      <c r="AT41" s="1">
        <f>(AS41*$C$18-BZ41)/($C$17-$C$18*M41)</f>
        <v>148.61028613424457</v>
      </c>
      <c r="AU41" s="1">
        <f>(AT41*$C$18-CA41)/($C$17-$C$18*N41)</f>
        <v>143.6271661210763</v>
      </c>
      <c r="AV41" s="1">
        <f>(AU41*$C$18-CB41)/($C$17-$C$18*O41)</f>
        <v>138.72924734334603</v>
      </c>
      <c r="AW41" s="1">
        <f>(AV41*$C$18-CC41)/($C$17-$C$18*P41)</f>
        <v>133.92491606340704</v>
      </c>
      <c r="AX41" s="1">
        <f>(AW41*$C$18-CD41)/($C$17-$C$18*Q41)</f>
        <v>129.2215502659939</v>
      </c>
      <c r="AY41" s="1">
        <f>(AX41*$C$18-CE41)/($C$17-$C$18*R41)</f>
        <v>124.62535648390316</v>
      </c>
      <c r="AZ41" s="1">
        <f>(AY41*$C$18-CF41)/($C$17-$C$18*S41)</f>
        <v>120.14128564063317</v>
      </c>
      <c r="BA41" s="1">
        <f>(AZ41*$C$18-CG41)/($C$17-$C$18*T41)</f>
        <v>115.77297349221975</v>
      </c>
      <c r="BB41" s="1">
        <f>(BA41*$C$18-CH41)/($C$17-$C$18*U41)</f>
        <v>111.52269801090475</v>
      </c>
      <c r="BC41" s="1">
        <f>(BB41*$C$18-CI41)/($C$17-$C$18*V41)</f>
        <v>107.39135294120175</v>
      </c>
      <c r="BD41" s="1">
        <f>(BC41*$C$18-CJ41)/($C$17-$C$18*W41)</f>
        <v>103.37843763518718</v>
      </c>
      <c r="BE41" s="1">
        <f>(BD41*$C$18-CK41)/($C$17-$C$18*X41)</f>
        <v>99.482063242813425</v>
      </c>
      <c r="BF41" s="1">
        <f>(BE41*$C$18-CL41)/($C$17-$C$18*Y41)</f>
        <v>95.698975165357595</v>
      </c>
      <c r="BG41" s="1">
        <f>(BF41*$C$18-CM41)/($C$17-$C$18*Z41)</f>
        <v>92.024591493690622</v>
      </c>
      <c r="BH41" s="1">
        <f>(BG41*$C$18-CN41)/($C$17-$C$18*AA41)</f>
        <v>88.453056967473614</v>
      </c>
      <c r="BI41" s="1">
        <f>(BH41*$C$18-CO41)/($C$17-$C$18*AB41)</f>
        <v>84.977311811399971</v>
      </c>
      <c r="BJ41" s="1">
        <f>(BI41*$C$18-CP41)/($C$17-$C$18*AC41)</f>
        <v>81.589174632617372</v>
      </c>
      <c r="BK41" s="1">
        <f>(BJ41*$C$18-CQ41)/($C$17-$C$18*AD41)</f>
        <v>78.279438401448687</v>
      </c>
      <c r="BL41" s="1">
        <f>(BK41*$C$18-CR41)/($C$17-$C$18*AE41)</f>
        <v>75.037978387256089</v>
      </c>
      <c r="BM41" s="1">
        <f>(BL41*$C$18-CS41)/($C$17-$C$18*AF41)</f>
        <v>71.853870784380717</v>
      </c>
      <c r="BN41" s="1">
        <f>(BM41*$C$18-CT41)/($C$17-$C$18*AG41)</f>
        <v>68.715520640990079</v>
      </c>
      <c r="BO41" s="1">
        <f>(BN41*$C$18-CU41)/($C$17-$C$18*AH41)</f>
        <v>65.61079759766163</v>
      </c>
      <c r="BP41" s="1">
        <f>(BO41*$C$18-CV41)/($C$17-$C$18*AI41)</f>
        <v>62.527177853718754</v>
      </c>
      <c r="BQ41" s="2"/>
      <c r="BR41" s="2"/>
      <c r="BS41" s="1">
        <f>-$C$10*$C$9*G8/$C$7</f>
        <v>-1076400000</v>
      </c>
      <c r="BT41" s="1">
        <f>-$C$10*$C$9*H8/$C$7</f>
        <v>-1045109385.7533028</v>
      </c>
      <c r="BU41" s="1">
        <f>-$C$10*$C$9*I8/$C$7</f>
        <v>-1013895556.5475086</v>
      </c>
      <c r="BV41" s="1">
        <f>-$C$10*$C$9*J8/$C$7</f>
        <v>-982834395.24029565</v>
      </c>
      <c r="BW41" s="1">
        <f>-$C$10*$C$9*K8/$C$7</f>
        <v>-951999990.99129283</v>
      </c>
      <c r="BX41" s="1">
        <f>-$C$10*$C$9*L8/$C$7</f>
        <v>-921463768.95472562</v>
      </c>
      <c r="BY41" s="1">
        <f>-$C$10*$C$9*M8/$C$7</f>
        <v>-891293651.46163142</v>
      </c>
      <c r="BZ41" s="1">
        <f>-$C$10*$C$9*N8/$C$7</f>
        <v>-861553260.59256601</v>
      </c>
      <c r="CA41" s="1">
        <f>-$C$10*$C$9*O8/$C$7</f>
        <v>-832301171.54134071</v>
      </c>
      <c r="CB41" s="1">
        <f>-$C$10*$C$9*P8/$C$7</f>
        <v>-803590225.55734551</v>
      </c>
      <c r="CC41" s="1">
        <f>-$C$10*$C$9*Q8/$C$7</f>
        <v>-775466910.53640723</v>
      </c>
      <c r="CD41" s="1">
        <f>-$C$10*$C$9*R8/$C$7</f>
        <v>-747970816.51721287</v>
      </c>
      <c r="CE41" s="1">
        <f>-$C$10*$C$9*S8/$C$7</f>
        <v>-721134172.44257963</v>
      </c>
      <c r="CF41" s="1">
        <f>-$C$10*$C$9*T8/$C$7</f>
        <v>-694981469.57368088</v>
      </c>
      <c r="CG41" s="1">
        <f>-$C$10*$C$9*U8/$C$7</f>
        <v>-669529175.91299891</v>
      </c>
      <c r="CH41" s="1">
        <f>-$C$10*$C$9*V8/$C$7</f>
        <v>-644785544.91116309</v>
      </c>
      <c r="CI41" s="1">
        <f>-$C$10*$C$9*W8/$C$7</f>
        <v>-620750520.61721861</v>
      </c>
      <c r="CJ41" s="1">
        <f>-$C$10*$C$9*X8/$C$7</f>
        <v>-597415740.29482949</v>
      </c>
      <c r="CK41" s="1">
        <f>-$C$10*$C$9*Y8/$C$7</f>
        <v>-574764634.38208961</v>
      </c>
      <c r="CL41" s="1">
        <f>-$C$10*$C$9*Z8/$C$7</f>
        <v>-552772622.53349149</v>
      </c>
      <c r="CM41" s="1">
        <f>-$C$10*$C$9*AA8/$C$7</f>
        <v>-531407403.36245507</v>
      </c>
      <c r="CN41" s="1">
        <f>-$C$10*$C$9*AB8/$C$7</f>
        <v>-510629334.4144938</v>
      </c>
      <c r="CO41" s="1">
        <f>-$C$10*$C$9*AC8/$C$7</f>
        <v>-490391897.85684943</v>
      </c>
      <c r="CP41" s="1">
        <f>-$C$10*$C$9*AD8/$C$7</f>
        <v>-470642246.3818838</v>
      </c>
      <c r="CQ41" s="1">
        <f>-$C$10*$C$9*AE8/$C$7</f>
        <v>-451321822.89950043</v>
      </c>
      <c r="CR41" s="1">
        <f>-$C$10*$C$9*AF8/$C$7</f>
        <v>-432367046.74831045</v>
      </c>
      <c r="CS41" s="1">
        <f>-$C$10*$C$9*AG8/$C$7</f>
        <v>-413710058.39518112</v>
      </c>
      <c r="CT41" s="1">
        <f>-$C$10*$C$9*AH8/$C$7</f>
        <v>-395279513.92616928</v>
      </c>
      <c r="CU41" s="1">
        <f>-$C$10*$C$9*AI8/$C$7</f>
        <v>-377001420.06560123</v>
      </c>
      <c r="CV41" s="1">
        <f>-$C$10*$C$9*AJ8/$C$7</f>
        <v>-358800000</v>
      </c>
      <c r="CW41" s="2"/>
      <c r="CX41" s="2"/>
      <c r="CY41" s="1">
        <f>G8</f>
        <v>300</v>
      </c>
      <c r="CZ41" s="1">
        <f t="shared" si="3"/>
        <v>291.30187853019191</v>
      </c>
      <c r="DA41" s="1">
        <f t="shared" si="4"/>
        <v>282.62488987665483</v>
      </c>
      <c r="DB41" s="1">
        <f t="shared" si="5"/>
        <v>273.98991857562999</v>
      </c>
      <c r="DC41" s="1">
        <f t="shared" si="6"/>
        <v>265.4173555383349</v>
      </c>
      <c r="DD41" s="1">
        <f t="shared" si="7"/>
        <v>256.92685854049921</v>
      </c>
      <c r="DE41" s="1">
        <f t="shared" si="8"/>
        <v>248.53712137531232</v>
      </c>
      <c r="DF41" s="1">
        <f t="shared" si="9"/>
        <v>240.26565439391013</v>
      </c>
      <c r="DG41" s="1">
        <f t="shared" si="10"/>
        <v>232.12857902001031</v>
      </c>
      <c r="DH41" s="1">
        <f t="shared" si="11"/>
        <v>224.14043865682657</v>
      </c>
      <c r="DI41" s="1">
        <f t="shared" si="12"/>
        <v>216.31402820713831</v>
      </c>
      <c r="DJ41" s="1">
        <f t="shared" si="13"/>
        <v>208.66024420391778</v>
      </c>
      <c r="DK41" s="1">
        <f t="shared" si="14"/>
        <v>201.18795730208896</v>
      </c>
      <c r="DL41" s="1">
        <f t="shared" si="15"/>
        <v>193.90390861494132</v>
      </c>
      <c r="DM41" s="1">
        <f t="shared" si="16"/>
        <v>186.81263109481239</v>
      </c>
      <c r="DN41" s="1">
        <f t="shared" si="17"/>
        <v>179.91639686041685</v>
      </c>
      <c r="DO41" s="1">
        <f t="shared" si="18"/>
        <v>173.21519106628722</v>
      </c>
      <c r="DP41" s="1">
        <f t="shared" si="19"/>
        <v>166.7067125969314</v>
      </c>
      <c r="DQ41" s="1">
        <f t="shared" si="20"/>
        <v>160.38640155324904</v>
      </c>
      <c r="DR41" s="1">
        <f t="shared" si="21"/>
        <v>154.24749318520333</v>
      </c>
      <c r="DS41" s="1">
        <f t="shared" si="22"/>
        <v>148.28109761636614</v>
      </c>
      <c r="DT41" s="1">
        <f t="shared" si="23"/>
        <v>142.47630440628055</v>
      </c>
      <c r="DU41" s="1">
        <f t="shared" si="24"/>
        <v>136.82031070900084</v>
      </c>
      <c r="DV41" s="1">
        <f t="shared" si="25"/>
        <v>131.29857151387836</v>
      </c>
      <c r="DW41" s="1">
        <f t="shared" si="26"/>
        <v>125.89497020065414</v>
      </c>
      <c r="DX41" s="1">
        <f t="shared" si="27"/>
        <v>120.59200740794037</v>
      </c>
      <c r="DY41" s="1">
        <f t="shared" si="28"/>
        <v>115.37100600471621</v>
      </c>
      <c r="DZ41" s="1">
        <f t="shared" si="29"/>
        <v>110.21232977073686</v>
      </c>
      <c r="EA41" s="1">
        <f t="shared" si="30"/>
        <v>105.09561323567564</v>
      </c>
      <c r="EB41" s="1">
        <f>AJ8</f>
        <v>100</v>
      </c>
    </row>
    <row r="42" spans="4:132">
      <c r="D42" s="3"/>
      <c r="E42" s="3"/>
      <c r="F42" s="1">
        <v>23</v>
      </c>
      <c r="G42" s="1">
        <f>0</f>
        <v>0</v>
      </c>
      <c r="H42" s="1">
        <f>$C$16/($C$17-$C$18*G42)</f>
        <v>0.3415922014622258</v>
      </c>
      <c r="I42" s="1">
        <f>$C$16/($C$17-$C$18*H42)</f>
        <v>0.3867162803971414</v>
      </c>
      <c r="J42" s="1">
        <f>$C$16/($C$17-$C$18*I42)</f>
        <v>0.39358441341045353</v>
      </c>
      <c r="K42" s="1">
        <f>$C$16/($C$17-$C$18*J42)</f>
        <v>0.39465123071155611</v>
      </c>
      <c r="L42" s="1">
        <f>$C$16/($C$17-$C$18*K42)</f>
        <v>0.39481745705771337</v>
      </c>
      <c r="M42" s="1">
        <f>$C$16/($C$17-$C$18*L42)</f>
        <v>0.39484337025824801</v>
      </c>
      <c r="N42" s="1">
        <f>$C$16/($C$17-$C$18*M42)</f>
        <v>0.39484741020089792</v>
      </c>
      <c r="O42" s="1">
        <f>$C$16/($C$17-$C$18*N42)</f>
        <v>0.39484804004704999</v>
      </c>
      <c r="P42" s="1">
        <f>$C$16/($C$17-$C$18*O42)</f>
        <v>0.39484813824322279</v>
      </c>
      <c r="Q42" s="1">
        <f>$C$16/($C$17-$C$18*P42)</f>
        <v>0.39484815355250286</v>
      </c>
      <c r="R42" s="1">
        <f>$C$16/($C$17-$C$18*Q42)</f>
        <v>0.39484815593929717</v>
      </c>
      <c r="S42" s="1">
        <f>$C$16/($C$17-$C$18*R42)</f>
        <v>0.39484815631141046</v>
      </c>
      <c r="T42" s="1">
        <f>$C$16/($C$17-$C$18*S42)</f>
        <v>0.39484815636942483</v>
      </c>
      <c r="U42" s="1">
        <f>$C$16/($C$17-$C$18*T42)</f>
        <v>0.39484815637846954</v>
      </c>
      <c r="V42" s="1">
        <f>$C$16/($C$17-$C$18*U42)</f>
        <v>0.39484815637987963</v>
      </c>
      <c r="W42" s="1">
        <f>$C$16/($C$17-$C$18*V42)</f>
        <v>0.39484815638009951</v>
      </c>
      <c r="X42" s="1">
        <f>$C$16/($C$17-$C$18*W42)</f>
        <v>0.39484815638013382</v>
      </c>
      <c r="Y42" s="1">
        <f>$C$16/($C$17-$C$18*X42)</f>
        <v>0.39484815638013915</v>
      </c>
      <c r="Z42" s="1">
        <f>$C$16/($C$17-$C$18*Y42)</f>
        <v>0.39484815638013998</v>
      </c>
      <c r="AA42" s="1">
        <f>$C$16/($C$17-$C$18*Z42)</f>
        <v>0.39484815638014015</v>
      </c>
      <c r="AB42" s="1">
        <f>$C$16/($C$17-$C$18*AA42)</f>
        <v>0.39484815638014015</v>
      </c>
      <c r="AC42" s="1">
        <f>$C$16/($C$17-$C$18*AB42)</f>
        <v>0.39484815638014015</v>
      </c>
      <c r="AD42" s="1">
        <f>$C$16/($C$17-$C$18*AC42)</f>
        <v>0.39484815638014015</v>
      </c>
      <c r="AE42" s="1">
        <f>$C$16/($C$17-$C$18*AD42)</f>
        <v>0.39484815638014015</v>
      </c>
      <c r="AF42" s="1">
        <f>$C$16/($C$17-$C$18*AE42)</f>
        <v>0.39484815638014015</v>
      </c>
      <c r="AG42" s="1">
        <f>$C$16/($C$17-$C$18*AF42)</f>
        <v>0.39484815638014015</v>
      </c>
      <c r="AH42" s="1">
        <f>$C$16/($C$17-$C$18*AG42)</f>
        <v>0.39484815638014015</v>
      </c>
      <c r="AI42" s="1">
        <f>$C$16/($C$17-$C$18*AH42)</f>
        <v>0.39484815638014015</v>
      </c>
      <c r="AJ42" s="1">
        <f>$C$16/($C$17-$C$18*AI42)</f>
        <v>0.39484815638014015</v>
      </c>
      <c r="AK42" s="2"/>
      <c r="AL42" s="2"/>
      <c r="AM42" s="1">
        <f>G9</f>
        <v>300</v>
      </c>
      <c r="AN42" s="1">
        <f>(AM42*$C$18-BT42)/($C$17-$C$18*G42)</f>
        <v>194.75942020920627</v>
      </c>
      <c r="AO42" s="1">
        <f>(AN42*$C$18-BU42)/($C$17-$C$18*H42)</f>
        <v>176.66852769877156</v>
      </c>
      <c r="AP42" s="1">
        <f>(AO42*$C$18-BV42)/($C$17-$C$18*I42)</f>
        <v>169.52578438712067</v>
      </c>
      <c r="AQ42" s="1">
        <f>(AP42*$C$18-BW42)/($C$17-$C$18*J42)</f>
        <v>164.02085461247299</v>
      </c>
      <c r="AR42" s="1">
        <f>(AQ42*$C$18-BX42)/($C$17-$C$18*K42)</f>
        <v>158.80006429465411</v>
      </c>
      <c r="AS42" s="1">
        <f>(AR42*$C$18-BY42)/($C$17-$C$18*L42)</f>
        <v>153.66982063711743</v>
      </c>
      <c r="AT42" s="1">
        <f>(AS42*$C$18-BZ42)/($C$17-$C$18*M42)</f>
        <v>148.6102861342446</v>
      </c>
      <c r="AU42" s="1">
        <f>(AT42*$C$18-CA42)/($C$17-$C$18*N42)</f>
        <v>143.62716612107633</v>
      </c>
      <c r="AV42" s="1">
        <f>(AU42*$C$18-CB42)/($C$17-$C$18*O42)</f>
        <v>138.72924734334609</v>
      </c>
      <c r="AW42" s="1">
        <f>(AV42*$C$18-CC42)/($C$17-$C$18*P42)</f>
        <v>133.9249160634071</v>
      </c>
      <c r="AX42" s="1">
        <f>(AW42*$C$18-CD42)/($C$17-$C$18*Q42)</f>
        <v>129.22155026599393</v>
      </c>
      <c r="AY42" s="1">
        <f>(AX42*$C$18-CE42)/($C$17-$C$18*R42)</f>
        <v>124.62535648390319</v>
      </c>
      <c r="AZ42" s="1">
        <f>(AY42*$C$18-CF42)/($C$17-$C$18*S42)</f>
        <v>120.1412856406332</v>
      </c>
      <c r="BA42" s="1">
        <f>(AZ42*$C$18-CG42)/($C$17-$C$18*T42)</f>
        <v>115.77297349221976</v>
      </c>
      <c r="BB42" s="1">
        <f>(BA42*$C$18-CH42)/($C$17-$C$18*U42)</f>
        <v>111.52269801090478</v>
      </c>
      <c r="BC42" s="1">
        <f>(BB42*$C$18-CI42)/($C$17-$C$18*V42)</f>
        <v>107.39135294120179</v>
      </c>
      <c r="BD42" s="1">
        <f>(BC42*$C$18-CJ42)/($C$17-$C$18*W42)</f>
        <v>103.37843763518723</v>
      </c>
      <c r="BE42" s="1">
        <f>(BD42*$C$18-CK42)/($C$17-$C$18*X42)</f>
        <v>99.482063242813467</v>
      </c>
      <c r="BF42" s="1">
        <f>(BE42*$C$18-CL42)/($C$17-$C$18*Y42)</f>
        <v>95.698975165357623</v>
      </c>
      <c r="BG42" s="1">
        <f>(BF42*$C$18-CM42)/($C$17-$C$18*Z42)</f>
        <v>92.024591493690636</v>
      </c>
      <c r="BH42" s="1">
        <f>(BG42*$C$18-CN42)/($C$17-$C$18*AA42)</f>
        <v>88.453056967473643</v>
      </c>
      <c r="BI42" s="1">
        <f>(BH42*$C$18-CO42)/($C$17-$C$18*AB42)</f>
        <v>84.977311811399986</v>
      </c>
      <c r="BJ42" s="1">
        <f>(BI42*$C$18-CP42)/($C$17-$C$18*AC42)</f>
        <v>81.589174632617386</v>
      </c>
      <c r="BK42" s="1">
        <f>(BJ42*$C$18-CQ42)/($C$17-$C$18*AD42)</f>
        <v>78.279438401448701</v>
      </c>
      <c r="BL42" s="1">
        <f>(BK42*$C$18-CR42)/($C$17-$C$18*AE42)</f>
        <v>75.037978387256103</v>
      </c>
      <c r="BM42" s="1">
        <f>(BL42*$C$18-CS42)/($C$17-$C$18*AF42)</f>
        <v>71.853870784380732</v>
      </c>
      <c r="BN42" s="1">
        <f>(BM42*$C$18-CT42)/($C$17-$C$18*AG42)</f>
        <v>68.715520640990093</v>
      </c>
      <c r="BO42" s="1">
        <f>(BN42*$C$18-CU42)/($C$17-$C$18*AH42)</f>
        <v>65.610797597661644</v>
      </c>
      <c r="BP42" s="1">
        <f>(BO42*$C$18-CV42)/($C$17-$C$18*AI42)</f>
        <v>62.527177853718754</v>
      </c>
      <c r="BQ42" s="2"/>
      <c r="BR42" s="2"/>
      <c r="BS42" s="1">
        <f>-$C$10*$C$9*G9/$C$7</f>
        <v>-1076400000</v>
      </c>
      <c r="BT42" s="1">
        <f>-$C$10*$C$9*H9/$C$7</f>
        <v>-1045109385.7533028</v>
      </c>
      <c r="BU42" s="1">
        <f>-$C$10*$C$9*I9/$C$7</f>
        <v>-1013895556.5475086</v>
      </c>
      <c r="BV42" s="1">
        <f>-$C$10*$C$9*J9/$C$7</f>
        <v>-982834395.24029589</v>
      </c>
      <c r="BW42" s="1">
        <f>-$C$10*$C$9*K9/$C$7</f>
        <v>-951999990.99129307</v>
      </c>
      <c r="BX42" s="1">
        <f>-$C$10*$C$9*L9/$C$7</f>
        <v>-921463768.95472574</v>
      </c>
      <c r="BY42" s="1">
        <f>-$C$10*$C$9*M9/$C$7</f>
        <v>-891293651.46163166</v>
      </c>
      <c r="BZ42" s="1">
        <f>-$C$10*$C$9*N9/$C$7</f>
        <v>-861553260.59256625</v>
      </c>
      <c r="CA42" s="1">
        <f>-$C$10*$C$9*O9/$C$7</f>
        <v>-832301171.54134083</v>
      </c>
      <c r="CB42" s="1">
        <f>-$C$10*$C$9*P9/$C$7</f>
        <v>-803590225.55734587</v>
      </c>
      <c r="CC42" s="1">
        <f>-$C$10*$C$9*Q9/$C$7</f>
        <v>-775466910.53640747</v>
      </c>
      <c r="CD42" s="1">
        <f>-$C$10*$C$9*R9/$C$7</f>
        <v>-747970816.51721299</v>
      </c>
      <c r="CE42" s="1">
        <f>-$C$10*$C$9*S9/$C$7</f>
        <v>-721134172.44257987</v>
      </c>
      <c r="CF42" s="1">
        <f>-$C$10*$C$9*T9/$C$7</f>
        <v>-694981469.57368112</v>
      </c>
      <c r="CG42" s="1">
        <f>-$C$10*$C$9*U9/$C$7</f>
        <v>-669529175.91299891</v>
      </c>
      <c r="CH42" s="1">
        <f>-$C$10*$C$9*V9/$C$7</f>
        <v>-644785544.91116333</v>
      </c>
      <c r="CI42" s="1">
        <f>-$C$10*$C$9*W9/$C$7</f>
        <v>-620750520.61721885</v>
      </c>
      <c r="CJ42" s="1">
        <f>-$C$10*$C$9*X9/$C$7</f>
        <v>-597415740.29482961</v>
      </c>
      <c r="CK42" s="1">
        <f>-$C$10*$C$9*Y9/$C$7</f>
        <v>-574764634.38208985</v>
      </c>
      <c r="CL42" s="1">
        <f>-$C$10*$C$9*Z9/$C$7</f>
        <v>-552772622.53349173</v>
      </c>
      <c r="CM42" s="1">
        <f>-$C$10*$C$9*AA9/$C$7</f>
        <v>-531407403.36245525</v>
      </c>
      <c r="CN42" s="1">
        <f>-$C$10*$C$9*AB9/$C$7</f>
        <v>-510629334.41449398</v>
      </c>
      <c r="CO42" s="1">
        <f>-$C$10*$C$9*AC9/$C$7</f>
        <v>-490391897.85684961</v>
      </c>
      <c r="CP42" s="1">
        <f>-$C$10*$C$9*AD9/$C$7</f>
        <v>-470642246.38188404</v>
      </c>
      <c r="CQ42" s="1">
        <f>-$C$10*$C$9*AE9/$C$7</f>
        <v>-451321822.89950055</v>
      </c>
      <c r="CR42" s="1">
        <f>-$C$10*$C$9*AF9/$C$7</f>
        <v>-432367046.74831063</v>
      </c>
      <c r="CS42" s="1">
        <f>-$C$10*$C$9*AG9/$C$7</f>
        <v>-413710058.39518124</v>
      </c>
      <c r="CT42" s="1">
        <f>-$C$10*$C$9*AH9/$C$7</f>
        <v>-395279513.92616928</v>
      </c>
      <c r="CU42" s="1">
        <f>-$C$10*$C$9*AI9/$C$7</f>
        <v>-377001420.06560123</v>
      </c>
      <c r="CV42" s="1">
        <f>-$C$10*$C$9*AJ9/$C$7</f>
        <v>-358800000</v>
      </c>
      <c r="CW42" s="2"/>
      <c r="CX42" s="2"/>
      <c r="CY42" s="1">
        <f>G9</f>
        <v>300</v>
      </c>
      <c r="CZ42" s="1">
        <f t="shared" si="3"/>
        <v>291.30187853019191</v>
      </c>
      <c r="DA42" s="1">
        <f t="shared" si="4"/>
        <v>282.62488987665483</v>
      </c>
      <c r="DB42" s="1">
        <f t="shared" si="5"/>
        <v>273.98991857562999</v>
      </c>
      <c r="DC42" s="1">
        <f t="shared" si="6"/>
        <v>265.4173555383349</v>
      </c>
      <c r="DD42" s="1">
        <f t="shared" si="7"/>
        <v>256.92685854049921</v>
      </c>
      <c r="DE42" s="1">
        <f t="shared" si="8"/>
        <v>248.53712137531235</v>
      </c>
      <c r="DF42" s="1">
        <f t="shared" si="9"/>
        <v>240.26565439391018</v>
      </c>
      <c r="DG42" s="1">
        <f t="shared" si="10"/>
        <v>232.12857902001036</v>
      </c>
      <c r="DH42" s="1">
        <f t="shared" si="11"/>
        <v>224.14043865682666</v>
      </c>
      <c r="DI42" s="1">
        <f t="shared" si="12"/>
        <v>216.31402820713839</v>
      </c>
      <c r="DJ42" s="1">
        <f t="shared" si="13"/>
        <v>208.66024420391784</v>
      </c>
      <c r="DK42" s="1">
        <f t="shared" si="14"/>
        <v>201.18795730208899</v>
      </c>
      <c r="DL42" s="1">
        <f t="shared" si="15"/>
        <v>193.90390861494137</v>
      </c>
      <c r="DM42" s="1">
        <f t="shared" si="16"/>
        <v>186.81263109481245</v>
      </c>
      <c r="DN42" s="1">
        <f t="shared" si="17"/>
        <v>179.91639686041691</v>
      </c>
      <c r="DO42" s="1">
        <f t="shared" si="18"/>
        <v>173.21519106628728</v>
      </c>
      <c r="DP42" s="1">
        <f t="shared" si="19"/>
        <v>166.70671259693148</v>
      </c>
      <c r="DQ42" s="1">
        <f t="shared" si="20"/>
        <v>160.3864015532491</v>
      </c>
      <c r="DR42" s="1">
        <f t="shared" si="21"/>
        <v>154.24749318520338</v>
      </c>
      <c r="DS42" s="1">
        <f t="shared" si="22"/>
        <v>148.28109761636617</v>
      </c>
      <c r="DT42" s="1">
        <f t="shared" si="23"/>
        <v>142.47630440628058</v>
      </c>
      <c r="DU42" s="1">
        <f t="shared" si="24"/>
        <v>136.82031070900084</v>
      </c>
      <c r="DV42" s="1">
        <f t="shared" si="25"/>
        <v>131.29857151387836</v>
      </c>
      <c r="DW42" s="1">
        <f t="shared" si="26"/>
        <v>125.89497020065417</v>
      </c>
      <c r="DX42" s="1">
        <f t="shared" si="27"/>
        <v>120.59200740794039</v>
      </c>
      <c r="DY42" s="1">
        <f t="shared" si="28"/>
        <v>115.37100600471624</v>
      </c>
      <c r="DZ42" s="1">
        <f t="shared" si="29"/>
        <v>110.21232977073689</v>
      </c>
      <c r="EA42" s="1">
        <f t="shared" si="30"/>
        <v>105.09561323567566</v>
      </c>
      <c r="EB42" s="1">
        <f>AJ9</f>
        <v>100</v>
      </c>
    </row>
    <row r="43" spans="4:132">
      <c r="D43" s="3"/>
      <c r="E43" s="3"/>
      <c r="F43" s="1">
        <v>22</v>
      </c>
      <c r="G43" s="1">
        <f>0</f>
        <v>0</v>
      </c>
      <c r="H43" s="1">
        <f>$C$16/($C$17-$C$18*G43)</f>
        <v>0.3415922014622258</v>
      </c>
      <c r="I43" s="1">
        <f>$C$16/($C$17-$C$18*H43)</f>
        <v>0.3867162803971414</v>
      </c>
      <c r="J43" s="1">
        <f>$C$16/($C$17-$C$18*I43)</f>
        <v>0.39358441341045353</v>
      </c>
      <c r="K43" s="1">
        <f>$C$16/($C$17-$C$18*J43)</f>
        <v>0.39465123071155611</v>
      </c>
      <c r="L43" s="1">
        <f>$C$16/($C$17-$C$18*K43)</f>
        <v>0.39481745705771337</v>
      </c>
      <c r="M43" s="1">
        <f>$C$16/($C$17-$C$18*L43)</f>
        <v>0.39484337025824801</v>
      </c>
      <c r="N43" s="1">
        <f>$C$16/($C$17-$C$18*M43)</f>
        <v>0.39484741020089792</v>
      </c>
      <c r="O43" s="1">
        <f>$C$16/($C$17-$C$18*N43)</f>
        <v>0.39484804004704999</v>
      </c>
      <c r="P43" s="1">
        <f>$C$16/($C$17-$C$18*O43)</f>
        <v>0.39484813824322279</v>
      </c>
      <c r="Q43" s="1">
        <f>$C$16/($C$17-$C$18*P43)</f>
        <v>0.39484815355250286</v>
      </c>
      <c r="R43" s="1">
        <f>$C$16/($C$17-$C$18*Q43)</f>
        <v>0.39484815593929717</v>
      </c>
      <c r="S43" s="1">
        <f>$C$16/($C$17-$C$18*R43)</f>
        <v>0.39484815631141046</v>
      </c>
      <c r="T43" s="1">
        <f>$C$16/($C$17-$C$18*S43)</f>
        <v>0.39484815636942483</v>
      </c>
      <c r="U43" s="1">
        <f>$C$16/($C$17-$C$18*T43)</f>
        <v>0.39484815637846954</v>
      </c>
      <c r="V43" s="1">
        <f>$C$16/($C$17-$C$18*U43)</f>
        <v>0.39484815637987963</v>
      </c>
      <c r="W43" s="1">
        <f>$C$16/($C$17-$C$18*V43)</f>
        <v>0.39484815638009951</v>
      </c>
      <c r="X43" s="1">
        <f>$C$16/($C$17-$C$18*W43)</f>
        <v>0.39484815638013382</v>
      </c>
      <c r="Y43" s="1">
        <f>$C$16/($C$17-$C$18*X43)</f>
        <v>0.39484815638013915</v>
      </c>
      <c r="Z43" s="1">
        <f>$C$16/($C$17-$C$18*Y43)</f>
        <v>0.39484815638013998</v>
      </c>
      <c r="AA43" s="1">
        <f>$C$16/($C$17-$C$18*Z43)</f>
        <v>0.39484815638014015</v>
      </c>
      <c r="AB43" s="1">
        <f>$C$16/($C$17-$C$18*AA43)</f>
        <v>0.39484815638014015</v>
      </c>
      <c r="AC43" s="1">
        <f>$C$16/($C$17-$C$18*AB43)</f>
        <v>0.39484815638014015</v>
      </c>
      <c r="AD43" s="1">
        <f>$C$16/($C$17-$C$18*AC43)</f>
        <v>0.39484815638014015</v>
      </c>
      <c r="AE43" s="1">
        <f>$C$16/($C$17-$C$18*AD43)</f>
        <v>0.39484815638014015</v>
      </c>
      <c r="AF43" s="1">
        <f>$C$16/($C$17-$C$18*AE43)</f>
        <v>0.39484815638014015</v>
      </c>
      <c r="AG43" s="1">
        <f>$C$16/($C$17-$C$18*AF43)</f>
        <v>0.39484815638014015</v>
      </c>
      <c r="AH43" s="1">
        <f>$C$16/($C$17-$C$18*AG43)</f>
        <v>0.39484815638014015</v>
      </c>
      <c r="AI43" s="1">
        <f>$C$16/($C$17-$C$18*AH43)</f>
        <v>0.39484815638014015</v>
      </c>
      <c r="AJ43" s="1">
        <f>$C$16/($C$17-$C$18*AI43)</f>
        <v>0.39484815638014015</v>
      </c>
      <c r="AK43" s="2"/>
      <c r="AL43" s="2"/>
      <c r="AM43" s="1">
        <f>G10</f>
        <v>300</v>
      </c>
      <c r="AN43" s="1">
        <f>(AM43*$C$18-BT43)/($C$17-$C$18*G43)</f>
        <v>194.75942020920627</v>
      </c>
      <c r="AO43" s="1">
        <f>(AN43*$C$18-BU43)/($C$17-$C$18*H43)</f>
        <v>176.66852769877158</v>
      </c>
      <c r="AP43" s="1">
        <f>(AO43*$C$18-BV43)/($C$17-$C$18*I43)</f>
        <v>169.52578438712072</v>
      </c>
      <c r="AQ43" s="1">
        <f>(AP43*$C$18-BW43)/($C$17-$C$18*J43)</f>
        <v>164.02085461247307</v>
      </c>
      <c r="AR43" s="1">
        <f>(AQ43*$C$18-BX43)/($C$17-$C$18*K43)</f>
        <v>158.80006429465416</v>
      </c>
      <c r="AS43" s="1">
        <f>(AR43*$C$18-BY43)/($C$17-$C$18*L43)</f>
        <v>153.66982063711748</v>
      </c>
      <c r="AT43" s="1">
        <f>(AS43*$C$18-BZ43)/($C$17-$C$18*M43)</f>
        <v>148.61028613424463</v>
      </c>
      <c r="AU43" s="1">
        <f>(AT43*$C$18-CA43)/($C$17-$C$18*N43)</f>
        <v>143.62716612107636</v>
      </c>
      <c r="AV43" s="1">
        <f>(AU43*$C$18-CB43)/($C$17-$C$18*O43)</f>
        <v>138.72924734334615</v>
      </c>
      <c r="AW43" s="1">
        <f>(AV43*$C$18-CC43)/($C$17-$C$18*P43)</f>
        <v>133.92491606340715</v>
      </c>
      <c r="AX43" s="1">
        <f>(AW43*$C$18-CD43)/($C$17-$C$18*Q43)</f>
        <v>129.22155026599398</v>
      </c>
      <c r="AY43" s="1">
        <f>(AX43*$C$18-CE43)/($C$17-$C$18*R43)</f>
        <v>124.62535648390323</v>
      </c>
      <c r="AZ43" s="1">
        <f>(AY43*$C$18-CF43)/($C$17-$C$18*S43)</f>
        <v>120.14128564063324</v>
      </c>
      <c r="BA43" s="1">
        <f>(AZ43*$C$18-CG43)/($C$17-$C$18*T43)</f>
        <v>115.77297349221979</v>
      </c>
      <c r="BB43" s="1">
        <f>(BA43*$C$18-CH43)/($C$17-$C$18*U43)</f>
        <v>111.5226980109048</v>
      </c>
      <c r="BC43" s="1">
        <f>(BB43*$C$18-CI43)/($C$17-$C$18*V43)</f>
        <v>107.3913529412018</v>
      </c>
      <c r="BD43" s="1">
        <f>(BC43*$C$18-CJ43)/($C$17-$C$18*W43)</f>
        <v>103.37843763518725</v>
      </c>
      <c r="BE43" s="1">
        <f>(BD43*$C$18-CK43)/($C$17-$C$18*X43)</f>
        <v>99.48206324281351</v>
      </c>
      <c r="BF43" s="1">
        <f>(BE43*$C$18-CL43)/($C$17-$C$18*Y43)</f>
        <v>95.698975165357652</v>
      </c>
      <c r="BG43" s="1">
        <f>(BF43*$C$18-CM43)/($C$17-$C$18*Z43)</f>
        <v>92.024591493690664</v>
      </c>
      <c r="BH43" s="1">
        <f>(BG43*$C$18-CN43)/($C$17-$C$18*AA43)</f>
        <v>88.453056967473671</v>
      </c>
      <c r="BI43" s="1">
        <f>(BH43*$C$18-CO43)/($C$17-$C$18*AB43)</f>
        <v>84.977311811400014</v>
      </c>
      <c r="BJ43" s="1">
        <f>(BI43*$C$18-CP43)/($C$17-$C$18*AC43)</f>
        <v>81.589174632617429</v>
      </c>
      <c r="BK43" s="1">
        <f>(BJ43*$C$18-CQ43)/($C$17-$C$18*AD43)</f>
        <v>78.279438401448715</v>
      </c>
      <c r="BL43" s="1">
        <f>(BK43*$C$18-CR43)/($C$17-$C$18*AE43)</f>
        <v>75.037978387256132</v>
      </c>
      <c r="BM43" s="1">
        <f>(BL43*$C$18-CS43)/($C$17-$C$18*AF43)</f>
        <v>71.853870784380732</v>
      </c>
      <c r="BN43" s="1">
        <f>(BM43*$C$18-CT43)/($C$17-$C$18*AG43)</f>
        <v>68.715520640990093</v>
      </c>
      <c r="BO43" s="1">
        <f>(BN43*$C$18-CU43)/($C$17-$C$18*AH43)</f>
        <v>65.610797597661644</v>
      </c>
      <c r="BP43" s="1">
        <f>(BO43*$C$18-CV43)/($C$17-$C$18*AI43)</f>
        <v>62.527177853718754</v>
      </c>
      <c r="BQ43" s="2"/>
      <c r="BR43" s="2"/>
      <c r="BS43" s="1">
        <f>-$C$10*$C$9*G10/$C$7</f>
        <v>-1076400000</v>
      </c>
      <c r="BT43" s="1">
        <f>-$C$10*$C$9*H10/$C$7</f>
        <v>-1045109385.7533028</v>
      </c>
      <c r="BU43" s="1">
        <f>-$C$10*$C$9*I10/$C$7</f>
        <v>-1013895556.5475088</v>
      </c>
      <c r="BV43" s="1">
        <f>-$C$10*$C$9*J10/$C$7</f>
        <v>-982834395.24029613</v>
      </c>
      <c r="BW43" s="1">
        <f>-$C$10*$C$9*K10/$C$7</f>
        <v>-951999990.99129343</v>
      </c>
      <c r="BX43" s="1">
        <f>-$C$10*$C$9*L10/$C$7</f>
        <v>-921463768.95472598</v>
      </c>
      <c r="BY43" s="1">
        <f>-$C$10*$C$9*M10/$C$7</f>
        <v>-891293651.46163189</v>
      </c>
      <c r="BZ43" s="1">
        <f>-$C$10*$C$9*N10/$C$7</f>
        <v>-861553260.59256637</v>
      </c>
      <c r="CA43" s="1">
        <f>-$C$10*$C$9*O10/$C$7</f>
        <v>-832301171.54134107</v>
      </c>
      <c r="CB43" s="1">
        <f>-$C$10*$C$9*P10/$C$7</f>
        <v>-803590225.55734599</v>
      </c>
      <c r="CC43" s="1">
        <f>-$C$10*$C$9*Q10/$C$7</f>
        <v>-775466910.53640783</v>
      </c>
      <c r="CD43" s="1">
        <f>-$C$10*$C$9*R10/$C$7</f>
        <v>-747970816.51721323</v>
      </c>
      <c r="CE43" s="1">
        <f>-$C$10*$C$9*S10/$C$7</f>
        <v>-721134172.44257998</v>
      </c>
      <c r="CF43" s="1">
        <f>-$C$10*$C$9*T10/$C$7</f>
        <v>-694981469.57368135</v>
      </c>
      <c r="CG43" s="1">
        <f>-$C$10*$C$9*U10/$C$7</f>
        <v>-669529175.91299915</v>
      </c>
      <c r="CH43" s="1">
        <f>-$C$10*$C$9*V10/$C$7</f>
        <v>-644785544.91116345</v>
      </c>
      <c r="CI43" s="1">
        <f>-$C$10*$C$9*W10/$C$7</f>
        <v>-620750520.61721909</v>
      </c>
      <c r="CJ43" s="1">
        <f>-$C$10*$C$9*X10/$C$7</f>
        <v>-597415740.29482985</v>
      </c>
      <c r="CK43" s="1">
        <f>-$C$10*$C$9*Y10/$C$7</f>
        <v>-574764634.38209009</v>
      </c>
      <c r="CL43" s="1">
        <f>-$C$10*$C$9*Z10/$C$7</f>
        <v>-552772622.53349185</v>
      </c>
      <c r="CM43" s="1">
        <f>-$C$10*$C$9*AA10/$C$7</f>
        <v>-531407403.36245537</v>
      </c>
      <c r="CN43" s="1">
        <f>-$C$10*$C$9*AB10/$C$7</f>
        <v>-510629334.4144941</v>
      </c>
      <c r="CO43" s="1">
        <f>-$C$10*$C$9*AC10/$C$7</f>
        <v>-490391897.85684973</v>
      </c>
      <c r="CP43" s="1">
        <f>-$C$10*$C$9*AD10/$C$7</f>
        <v>-470642246.38188422</v>
      </c>
      <c r="CQ43" s="1">
        <f>-$C$10*$C$9*AE10/$C$7</f>
        <v>-451321822.89950061</v>
      </c>
      <c r="CR43" s="1">
        <f>-$C$10*$C$9*AF10/$C$7</f>
        <v>-432367046.74831074</v>
      </c>
      <c r="CS43" s="1">
        <f>-$C$10*$C$9*AG10/$C$7</f>
        <v>-413710058.3951813</v>
      </c>
      <c r="CT43" s="1">
        <f>-$C$10*$C$9*AH10/$C$7</f>
        <v>-395279513.92616934</v>
      </c>
      <c r="CU43" s="1">
        <f>-$C$10*$C$9*AI10/$C$7</f>
        <v>-377001420.06560123</v>
      </c>
      <c r="CV43" s="1">
        <f>-$C$10*$C$9*AJ10/$C$7</f>
        <v>-358800000</v>
      </c>
      <c r="CW43" s="2"/>
      <c r="CX43" s="2"/>
      <c r="CY43" s="1">
        <f>G10</f>
        <v>300</v>
      </c>
      <c r="CZ43" s="1">
        <f t="shared" si="3"/>
        <v>291.30187853019197</v>
      </c>
      <c r="DA43" s="1">
        <f t="shared" si="4"/>
        <v>282.62488987665489</v>
      </c>
      <c r="DB43" s="1">
        <f t="shared" si="5"/>
        <v>273.9899185756301</v>
      </c>
      <c r="DC43" s="1">
        <f t="shared" si="6"/>
        <v>265.41735553833496</v>
      </c>
      <c r="DD43" s="1">
        <f t="shared" si="7"/>
        <v>256.92685854049927</v>
      </c>
      <c r="DE43" s="1">
        <f t="shared" si="8"/>
        <v>248.53712137531244</v>
      </c>
      <c r="DF43" s="1">
        <f t="shared" si="9"/>
        <v>240.26565439391024</v>
      </c>
      <c r="DG43" s="1">
        <f t="shared" si="10"/>
        <v>232.12857902001042</v>
      </c>
      <c r="DH43" s="1">
        <f t="shared" si="11"/>
        <v>224.14043865682675</v>
      </c>
      <c r="DI43" s="1">
        <f t="shared" si="12"/>
        <v>216.31402820713848</v>
      </c>
      <c r="DJ43" s="1">
        <f t="shared" si="13"/>
        <v>208.6602442039179</v>
      </c>
      <c r="DK43" s="1">
        <f t="shared" si="14"/>
        <v>201.18795730208907</v>
      </c>
      <c r="DL43" s="1">
        <f t="shared" si="15"/>
        <v>193.90390861494143</v>
      </c>
      <c r="DM43" s="1">
        <f t="shared" si="16"/>
        <v>186.8126310948125</v>
      </c>
      <c r="DN43" s="1">
        <f t="shared" si="17"/>
        <v>179.91639686041697</v>
      </c>
      <c r="DO43" s="1">
        <f t="shared" si="18"/>
        <v>173.21519106628733</v>
      </c>
      <c r="DP43" s="1">
        <f t="shared" si="19"/>
        <v>166.70671259693151</v>
      </c>
      <c r="DQ43" s="1">
        <f t="shared" si="20"/>
        <v>160.38640155324916</v>
      </c>
      <c r="DR43" s="1">
        <f t="shared" si="21"/>
        <v>154.24749318520341</v>
      </c>
      <c r="DS43" s="1">
        <f t="shared" si="22"/>
        <v>148.2810976163662</v>
      </c>
      <c r="DT43" s="1">
        <f t="shared" si="23"/>
        <v>142.47630440628063</v>
      </c>
      <c r="DU43" s="1">
        <f t="shared" si="24"/>
        <v>136.82031070900089</v>
      </c>
      <c r="DV43" s="1">
        <f t="shared" si="25"/>
        <v>131.29857151387841</v>
      </c>
      <c r="DW43" s="1">
        <f t="shared" si="26"/>
        <v>125.8949702006542</v>
      </c>
      <c r="DX43" s="1">
        <f t="shared" si="27"/>
        <v>120.59200740794041</v>
      </c>
      <c r="DY43" s="1">
        <f t="shared" si="28"/>
        <v>115.37100600471624</v>
      </c>
      <c r="DZ43" s="1">
        <f t="shared" si="29"/>
        <v>110.21232977073689</v>
      </c>
      <c r="EA43" s="1">
        <f t="shared" si="30"/>
        <v>105.09561323567566</v>
      </c>
      <c r="EB43" s="1">
        <f>AJ10</f>
        <v>100</v>
      </c>
    </row>
    <row r="44" spans="4:132">
      <c r="D44" s="3"/>
      <c r="E44" s="3"/>
      <c r="F44" s="1">
        <v>21</v>
      </c>
      <c r="G44" s="1">
        <f>0</f>
        <v>0</v>
      </c>
      <c r="H44" s="1">
        <f>$C$16/($C$17-$C$18*G44)</f>
        <v>0.3415922014622258</v>
      </c>
      <c r="I44" s="1">
        <f>$C$16/($C$17-$C$18*H44)</f>
        <v>0.3867162803971414</v>
      </c>
      <c r="J44" s="1">
        <f>$C$16/($C$17-$C$18*I44)</f>
        <v>0.39358441341045353</v>
      </c>
      <c r="K44" s="1">
        <f>$C$16/($C$17-$C$18*J44)</f>
        <v>0.39465123071155611</v>
      </c>
      <c r="L44" s="1">
        <f>$C$16/($C$17-$C$18*K44)</f>
        <v>0.39481745705771337</v>
      </c>
      <c r="M44" s="1">
        <f>$C$16/($C$17-$C$18*L44)</f>
        <v>0.39484337025824801</v>
      </c>
      <c r="N44" s="1">
        <f>$C$16/($C$17-$C$18*M44)</f>
        <v>0.39484741020089792</v>
      </c>
      <c r="O44" s="1">
        <f>$C$16/($C$17-$C$18*N44)</f>
        <v>0.39484804004704999</v>
      </c>
      <c r="P44" s="1">
        <f>$C$16/($C$17-$C$18*O44)</f>
        <v>0.39484813824322279</v>
      </c>
      <c r="Q44" s="1">
        <f>$C$16/($C$17-$C$18*P44)</f>
        <v>0.39484815355250286</v>
      </c>
      <c r="R44" s="1">
        <f>$C$16/($C$17-$C$18*Q44)</f>
        <v>0.39484815593929717</v>
      </c>
      <c r="S44" s="1">
        <f>$C$16/($C$17-$C$18*R44)</f>
        <v>0.39484815631141046</v>
      </c>
      <c r="T44" s="1">
        <f>$C$16/($C$17-$C$18*S44)</f>
        <v>0.39484815636942483</v>
      </c>
      <c r="U44" s="1">
        <f>$C$16/($C$17-$C$18*T44)</f>
        <v>0.39484815637846954</v>
      </c>
      <c r="V44" s="1">
        <f>$C$16/($C$17-$C$18*U44)</f>
        <v>0.39484815637987963</v>
      </c>
      <c r="W44" s="1">
        <f>$C$16/($C$17-$C$18*V44)</f>
        <v>0.39484815638009951</v>
      </c>
      <c r="X44" s="1">
        <f>$C$16/($C$17-$C$18*W44)</f>
        <v>0.39484815638013382</v>
      </c>
      <c r="Y44" s="1">
        <f>$C$16/($C$17-$C$18*X44)</f>
        <v>0.39484815638013915</v>
      </c>
      <c r="Z44" s="1">
        <f>$C$16/($C$17-$C$18*Y44)</f>
        <v>0.39484815638013998</v>
      </c>
      <c r="AA44" s="1">
        <f>$C$16/($C$17-$C$18*Z44)</f>
        <v>0.39484815638014015</v>
      </c>
      <c r="AB44" s="1">
        <f>$C$16/($C$17-$C$18*AA44)</f>
        <v>0.39484815638014015</v>
      </c>
      <c r="AC44" s="1">
        <f>$C$16/($C$17-$C$18*AB44)</f>
        <v>0.39484815638014015</v>
      </c>
      <c r="AD44" s="1">
        <f>$C$16/($C$17-$C$18*AC44)</f>
        <v>0.39484815638014015</v>
      </c>
      <c r="AE44" s="1">
        <f>$C$16/($C$17-$C$18*AD44)</f>
        <v>0.39484815638014015</v>
      </c>
      <c r="AF44" s="1">
        <f>$C$16/($C$17-$C$18*AE44)</f>
        <v>0.39484815638014015</v>
      </c>
      <c r="AG44" s="1">
        <f>$C$16/($C$17-$C$18*AF44)</f>
        <v>0.39484815638014015</v>
      </c>
      <c r="AH44" s="1">
        <f>$C$16/($C$17-$C$18*AG44)</f>
        <v>0.39484815638014015</v>
      </c>
      <c r="AI44" s="1">
        <f>$C$16/($C$17-$C$18*AH44)</f>
        <v>0.39484815638014015</v>
      </c>
      <c r="AJ44" s="1">
        <f>$C$16/($C$17-$C$18*AI44)</f>
        <v>0.39484815638014015</v>
      </c>
      <c r="AK44" s="2"/>
      <c r="AL44" s="2"/>
      <c r="AM44" s="1">
        <f>G11</f>
        <v>300</v>
      </c>
      <c r="AN44" s="1">
        <f>(AM44*$C$18-BT44)/($C$17-$C$18*G44)</f>
        <v>194.75942020920627</v>
      </c>
      <c r="AO44" s="1">
        <f>(AN44*$C$18-BU44)/($C$17-$C$18*H44)</f>
        <v>176.66852769877161</v>
      </c>
      <c r="AP44" s="1">
        <f>(AO44*$C$18-BV44)/($C$17-$C$18*I44)</f>
        <v>169.52578438712072</v>
      </c>
      <c r="AQ44" s="1">
        <f>(AP44*$C$18-BW44)/($C$17-$C$18*J44)</f>
        <v>164.02085461247307</v>
      </c>
      <c r="AR44" s="1">
        <f>(AQ44*$C$18-BX44)/($C$17-$C$18*K44)</f>
        <v>158.80006429465422</v>
      </c>
      <c r="AS44" s="1">
        <f>(AR44*$C$18-BY44)/($C$17-$C$18*L44)</f>
        <v>153.66982063711751</v>
      </c>
      <c r="AT44" s="1">
        <f>(AS44*$C$18-BZ44)/($C$17-$C$18*M44)</f>
        <v>148.61028613424472</v>
      </c>
      <c r="AU44" s="1">
        <f>(AT44*$C$18-CA44)/($C$17-$C$18*N44)</f>
        <v>143.62716612107644</v>
      </c>
      <c r="AV44" s="1">
        <f>(AU44*$C$18-CB44)/($C$17-$C$18*O44)</f>
        <v>138.7292473433462</v>
      </c>
      <c r="AW44" s="1">
        <f>(AV44*$C$18-CC44)/($C$17-$C$18*P44)</f>
        <v>133.92491606340721</v>
      </c>
      <c r="AX44" s="1">
        <f>(AW44*$C$18-CD44)/($C$17-$C$18*Q44)</f>
        <v>129.22155026599407</v>
      </c>
      <c r="AY44" s="1">
        <f>(AX44*$C$18-CE44)/($C$17-$C$18*R44)</f>
        <v>124.6253564839033</v>
      </c>
      <c r="AZ44" s="1">
        <f>(AY44*$C$18-CF44)/($C$17-$C$18*S44)</f>
        <v>120.14128564063331</v>
      </c>
      <c r="BA44" s="1">
        <f>(AZ44*$C$18-CG44)/($C$17-$C$18*T44)</f>
        <v>115.77297349221989</v>
      </c>
      <c r="BB44" s="1">
        <f>(BA44*$C$18-CH44)/($C$17-$C$18*U44)</f>
        <v>111.52269801090488</v>
      </c>
      <c r="BC44" s="1">
        <f>(BB44*$C$18-CI44)/($C$17-$C$18*V44)</f>
        <v>107.39135294120187</v>
      </c>
      <c r="BD44" s="1">
        <f>(BC44*$C$18-CJ44)/($C$17-$C$18*W44)</f>
        <v>103.3784376351873</v>
      </c>
      <c r="BE44" s="1">
        <f>(BD44*$C$18-CK44)/($C$17-$C$18*X44)</f>
        <v>99.482063242813524</v>
      </c>
      <c r="BF44" s="1">
        <f>(BE44*$C$18-CL44)/($C$17-$C$18*Y44)</f>
        <v>95.698975165357695</v>
      </c>
      <c r="BG44" s="1">
        <f>(BF44*$C$18-CM44)/($C$17-$C$18*Z44)</f>
        <v>92.024591493690707</v>
      </c>
      <c r="BH44" s="1">
        <f>(BG44*$C$18-CN44)/($C$17-$C$18*AA44)</f>
        <v>88.453056967473714</v>
      </c>
      <c r="BI44" s="1">
        <f>(BH44*$C$18-CO44)/($C$17-$C$18*AB44)</f>
        <v>84.977311811400071</v>
      </c>
      <c r="BJ44" s="1">
        <f>(BI44*$C$18-CP44)/($C$17-$C$18*AC44)</f>
        <v>81.589174632617471</v>
      </c>
      <c r="BK44" s="1">
        <f>(BJ44*$C$18-CQ44)/($C$17-$C$18*AD44)</f>
        <v>78.279438401448772</v>
      </c>
      <c r="BL44" s="1">
        <f>(BK44*$C$18-CR44)/($C$17-$C$18*AE44)</f>
        <v>75.03797838725616</v>
      </c>
      <c r="BM44" s="1">
        <f>(BL44*$C$18-CS44)/($C$17-$C$18*AF44)</f>
        <v>71.853870784380774</v>
      </c>
      <c r="BN44" s="1">
        <f>(BM44*$C$18-CT44)/($C$17-$C$18*AG44)</f>
        <v>68.715520640990135</v>
      </c>
      <c r="BO44" s="1">
        <f>(BN44*$C$18-CU44)/($C$17-$C$18*AH44)</f>
        <v>65.610797597661659</v>
      </c>
      <c r="BP44" s="1">
        <f>(BO44*$C$18-CV44)/($C$17-$C$18*AI44)</f>
        <v>62.527177853718761</v>
      </c>
      <c r="BQ44" s="2"/>
      <c r="BR44" s="2"/>
      <c r="BS44" s="1">
        <f>-$C$10*$C$9*G11/$C$7</f>
        <v>-1076400000</v>
      </c>
      <c r="BT44" s="1">
        <f>-$C$10*$C$9*H11/$C$7</f>
        <v>-1045109385.7533029</v>
      </c>
      <c r="BU44" s="1">
        <f>-$C$10*$C$9*I11/$C$7</f>
        <v>-1013895556.547509</v>
      </c>
      <c r="BV44" s="1">
        <f>-$C$10*$C$9*J11/$C$7</f>
        <v>-982834395.24029624</v>
      </c>
      <c r="BW44" s="1">
        <f>-$C$10*$C$9*K11/$C$7</f>
        <v>-951999990.99129367</v>
      </c>
      <c r="BX44" s="1">
        <f>-$C$10*$C$9*L11/$C$7</f>
        <v>-921463768.95472646</v>
      </c>
      <c r="BY44" s="1">
        <f>-$C$10*$C$9*M11/$C$7</f>
        <v>-891293651.46163225</v>
      </c>
      <c r="BZ44" s="1">
        <f>-$C$10*$C$9*N11/$C$7</f>
        <v>-861553260.59256697</v>
      </c>
      <c r="CA44" s="1">
        <f>-$C$10*$C$9*O11/$C$7</f>
        <v>-832301171.54134154</v>
      </c>
      <c r="CB44" s="1">
        <f>-$C$10*$C$9*P11/$C$7</f>
        <v>-803590225.55734646</v>
      </c>
      <c r="CC44" s="1">
        <f>-$C$10*$C$9*Q11/$C$7</f>
        <v>-775466910.53640807</v>
      </c>
      <c r="CD44" s="1">
        <f>-$C$10*$C$9*R11/$C$7</f>
        <v>-747970816.5172137</v>
      </c>
      <c r="CE44" s="1">
        <f>-$C$10*$C$9*S11/$C$7</f>
        <v>-721134172.44258046</v>
      </c>
      <c r="CF44" s="1">
        <f>-$C$10*$C$9*T11/$C$7</f>
        <v>-694981469.57368183</v>
      </c>
      <c r="CG44" s="1">
        <f>-$C$10*$C$9*U11/$C$7</f>
        <v>-669529175.91299963</v>
      </c>
      <c r="CH44" s="1">
        <f>-$C$10*$C$9*V11/$C$7</f>
        <v>-644785544.91116393</v>
      </c>
      <c r="CI44" s="1">
        <f>-$C$10*$C$9*W11/$C$7</f>
        <v>-620750520.61721933</v>
      </c>
      <c r="CJ44" s="1">
        <f>-$C$10*$C$9*X11/$C$7</f>
        <v>-597415740.29483008</v>
      </c>
      <c r="CK44" s="1">
        <f>-$C$10*$C$9*Y11/$C$7</f>
        <v>-574764634.38209021</v>
      </c>
      <c r="CL44" s="1">
        <f>-$C$10*$C$9*Z11/$C$7</f>
        <v>-552772622.53349209</v>
      </c>
      <c r="CM44" s="1">
        <f>-$C$10*$C$9*AA11/$C$7</f>
        <v>-531407403.36245567</v>
      </c>
      <c r="CN44" s="1">
        <f>-$C$10*$C$9*AB11/$C$7</f>
        <v>-510629334.4144944</v>
      </c>
      <c r="CO44" s="1">
        <f>-$C$10*$C$9*AC11/$C$7</f>
        <v>-490391897.85684997</v>
      </c>
      <c r="CP44" s="1">
        <f>-$C$10*$C$9*AD11/$C$7</f>
        <v>-470642246.3818844</v>
      </c>
      <c r="CQ44" s="1">
        <f>-$C$10*$C$9*AE11/$C$7</f>
        <v>-451321822.89950085</v>
      </c>
      <c r="CR44" s="1">
        <f>-$C$10*$C$9*AF11/$C$7</f>
        <v>-432367046.74831086</v>
      </c>
      <c r="CS44" s="1">
        <f>-$C$10*$C$9*AG11/$C$7</f>
        <v>-413710058.39518154</v>
      </c>
      <c r="CT44" s="1">
        <f>-$C$10*$C$9*AH11/$C$7</f>
        <v>-395279513.92616951</v>
      </c>
      <c r="CU44" s="1">
        <f>-$C$10*$C$9*AI11/$C$7</f>
        <v>-377001420.06560129</v>
      </c>
      <c r="CV44" s="1">
        <f>-$C$10*$C$9*AJ11/$C$7</f>
        <v>-358800000</v>
      </c>
      <c r="CW44" s="2"/>
      <c r="CX44" s="2"/>
      <c r="CY44" s="1">
        <f>G11</f>
        <v>300</v>
      </c>
      <c r="CZ44" s="1">
        <f t="shared" si="3"/>
        <v>291.30187853019197</v>
      </c>
      <c r="DA44" s="1">
        <f t="shared" si="4"/>
        <v>282.62488987665495</v>
      </c>
      <c r="DB44" s="1">
        <f t="shared" si="5"/>
        <v>273.9899185756301</v>
      </c>
      <c r="DC44" s="1">
        <f t="shared" si="6"/>
        <v>265.41735553833502</v>
      </c>
      <c r="DD44" s="1">
        <f t="shared" si="7"/>
        <v>256.92685854049938</v>
      </c>
      <c r="DE44" s="1">
        <f t="shared" si="8"/>
        <v>248.53712137531252</v>
      </c>
      <c r="DF44" s="1">
        <f t="shared" si="9"/>
        <v>240.26565439391038</v>
      </c>
      <c r="DG44" s="1">
        <f t="shared" si="10"/>
        <v>232.12857902001056</v>
      </c>
      <c r="DH44" s="1">
        <f t="shared" si="11"/>
        <v>224.14043865682686</v>
      </c>
      <c r="DI44" s="1">
        <f t="shared" si="12"/>
        <v>216.31402820713859</v>
      </c>
      <c r="DJ44" s="1">
        <f t="shared" si="13"/>
        <v>208.66024420391804</v>
      </c>
      <c r="DK44" s="1">
        <f t="shared" si="14"/>
        <v>201.18795730208919</v>
      </c>
      <c r="DL44" s="1">
        <f t="shared" si="15"/>
        <v>193.90390861494154</v>
      </c>
      <c r="DM44" s="1">
        <f t="shared" si="16"/>
        <v>186.81263109481262</v>
      </c>
      <c r="DN44" s="1">
        <f t="shared" si="17"/>
        <v>179.91639686041705</v>
      </c>
      <c r="DO44" s="1">
        <f t="shared" si="18"/>
        <v>173.21519106628742</v>
      </c>
      <c r="DP44" s="1">
        <f t="shared" si="19"/>
        <v>166.70671259693157</v>
      </c>
      <c r="DQ44" s="1">
        <f t="shared" si="20"/>
        <v>160.38640155324919</v>
      </c>
      <c r="DR44" s="1">
        <f t="shared" si="21"/>
        <v>154.2474931852035</v>
      </c>
      <c r="DS44" s="1">
        <f t="shared" si="22"/>
        <v>148.28109761636628</v>
      </c>
      <c r="DT44" s="1">
        <f t="shared" si="23"/>
        <v>142.47630440628069</v>
      </c>
      <c r="DU44" s="1">
        <f t="shared" si="24"/>
        <v>136.82031070900098</v>
      </c>
      <c r="DV44" s="1">
        <f t="shared" si="25"/>
        <v>131.29857151387847</v>
      </c>
      <c r="DW44" s="1">
        <f t="shared" si="26"/>
        <v>125.89497020065426</v>
      </c>
      <c r="DX44" s="1">
        <f t="shared" si="27"/>
        <v>120.59200740794046</v>
      </c>
      <c r="DY44" s="1">
        <f t="shared" si="28"/>
        <v>115.37100600471629</v>
      </c>
      <c r="DZ44" s="1">
        <f t="shared" si="29"/>
        <v>110.21232977073693</v>
      </c>
      <c r="EA44" s="1">
        <f t="shared" si="30"/>
        <v>105.09561323567567</v>
      </c>
      <c r="EB44" s="1">
        <f>AJ11</f>
        <v>100</v>
      </c>
    </row>
    <row r="45" spans="4:132">
      <c r="D45" s="3"/>
      <c r="E45" s="3"/>
      <c r="F45" s="1">
        <v>20</v>
      </c>
      <c r="G45" s="1">
        <f>0</f>
        <v>0</v>
      </c>
      <c r="H45" s="1">
        <f>$C$16/($C$17-$C$18*G45)</f>
        <v>0.3415922014622258</v>
      </c>
      <c r="I45" s="1">
        <f>$C$16/($C$17-$C$18*H45)</f>
        <v>0.3867162803971414</v>
      </c>
      <c r="J45" s="1">
        <f>$C$16/($C$17-$C$18*I45)</f>
        <v>0.39358441341045353</v>
      </c>
      <c r="K45" s="1">
        <f>$C$16/($C$17-$C$18*J45)</f>
        <v>0.39465123071155611</v>
      </c>
      <c r="L45" s="1">
        <f>$C$16/($C$17-$C$18*K45)</f>
        <v>0.39481745705771337</v>
      </c>
      <c r="M45" s="1">
        <f>$C$16/($C$17-$C$18*L45)</f>
        <v>0.39484337025824801</v>
      </c>
      <c r="N45" s="1">
        <f>$C$16/($C$17-$C$18*M45)</f>
        <v>0.39484741020089792</v>
      </c>
      <c r="O45" s="1">
        <f>$C$16/($C$17-$C$18*N45)</f>
        <v>0.39484804004704999</v>
      </c>
      <c r="P45" s="1">
        <f>$C$16/($C$17-$C$18*O45)</f>
        <v>0.39484813824322279</v>
      </c>
      <c r="Q45" s="1">
        <f>$C$16/($C$17-$C$18*P45)</f>
        <v>0.39484815355250286</v>
      </c>
      <c r="R45" s="1">
        <f>$C$16/($C$17-$C$18*Q45)</f>
        <v>0.39484815593929717</v>
      </c>
      <c r="S45" s="1">
        <f>$C$16/($C$17-$C$18*R45)</f>
        <v>0.39484815631141046</v>
      </c>
      <c r="T45" s="1">
        <f>$C$16/($C$17-$C$18*S45)</f>
        <v>0.39484815636942483</v>
      </c>
      <c r="U45" s="1">
        <f>$C$16/($C$17-$C$18*T45)</f>
        <v>0.39484815637846954</v>
      </c>
      <c r="V45" s="1">
        <f>$C$16/($C$17-$C$18*U45)</f>
        <v>0.39484815637987963</v>
      </c>
      <c r="W45" s="1">
        <f>$C$16/($C$17-$C$18*V45)</f>
        <v>0.39484815638009951</v>
      </c>
      <c r="X45" s="1">
        <f>$C$16/($C$17-$C$18*W45)</f>
        <v>0.39484815638013382</v>
      </c>
      <c r="Y45" s="1">
        <f>$C$16/($C$17-$C$18*X45)</f>
        <v>0.39484815638013915</v>
      </c>
      <c r="Z45" s="1">
        <f>$C$16/($C$17-$C$18*Y45)</f>
        <v>0.39484815638013998</v>
      </c>
      <c r="AA45" s="1">
        <f>$C$16/($C$17-$C$18*Z45)</f>
        <v>0.39484815638014015</v>
      </c>
      <c r="AB45" s="1">
        <f>$C$16/($C$17-$C$18*AA45)</f>
        <v>0.39484815638014015</v>
      </c>
      <c r="AC45" s="1">
        <f>$C$16/($C$17-$C$18*AB45)</f>
        <v>0.39484815638014015</v>
      </c>
      <c r="AD45" s="1">
        <f>$C$16/($C$17-$C$18*AC45)</f>
        <v>0.39484815638014015</v>
      </c>
      <c r="AE45" s="1">
        <f>$C$16/($C$17-$C$18*AD45)</f>
        <v>0.39484815638014015</v>
      </c>
      <c r="AF45" s="1">
        <f>$C$16/($C$17-$C$18*AE45)</f>
        <v>0.39484815638014015</v>
      </c>
      <c r="AG45" s="1">
        <f>$C$16/($C$17-$C$18*AF45)</f>
        <v>0.39484815638014015</v>
      </c>
      <c r="AH45" s="1">
        <f>$C$16/($C$17-$C$18*AG45)</f>
        <v>0.39484815638014015</v>
      </c>
      <c r="AI45" s="1">
        <f>$C$16/($C$17-$C$18*AH45)</f>
        <v>0.39484815638014015</v>
      </c>
      <c r="AJ45" s="1">
        <f>$C$16/($C$17-$C$18*AI45)</f>
        <v>0.39484815638014015</v>
      </c>
      <c r="AK45" s="2"/>
      <c r="AL45" s="2"/>
      <c r="AM45" s="1">
        <f>G12</f>
        <v>300</v>
      </c>
      <c r="AN45" s="1">
        <f>(AM45*$C$18-BT45)/($C$17-$C$18*G45)</f>
        <v>194.75942020920633</v>
      </c>
      <c r="AO45" s="1">
        <f>(AN45*$C$18-BU45)/($C$17-$C$18*H45)</f>
        <v>176.66852769877164</v>
      </c>
      <c r="AP45" s="1">
        <f>(AO45*$C$18-BV45)/($C$17-$C$18*I45)</f>
        <v>169.52578438712081</v>
      </c>
      <c r="AQ45" s="1">
        <f>(AP45*$C$18-BW45)/($C$17-$C$18*J45)</f>
        <v>164.02085461247316</v>
      </c>
      <c r="AR45" s="1">
        <f>(AQ45*$C$18-BX45)/($C$17-$C$18*K45)</f>
        <v>158.80006429465431</v>
      </c>
      <c r="AS45" s="1">
        <f>(AR45*$C$18-BY45)/($C$17-$C$18*L45)</f>
        <v>153.66982063711762</v>
      </c>
      <c r="AT45" s="1">
        <f>(AS45*$C$18-BZ45)/($C$17-$C$18*M45)</f>
        <v>148.6102861342448</v>
      </c>
      <c r="AU45" s="1">
        <f>(AT45*$C$18-CA45)/($C$17-$C$18*N45)</f>
        <v>143.62716612107653</v>
      </c>
      <c r="AV45" s="1">
        <f>(AU45*$C$18-CB45)/($C$17-$C$18*O45)</f>
        <v>138.72924734334629</v>
      </c>
      <c r="AW45" s="1">
        <f>(AV45*$C$18-CC45)/($C$17-$C$18*P45)</f>
        <v>133.9249160634073</v>
      </c>
      <c r="AX45" s="1">
        <f>(AW45*$C$18-CD45)/($C$17-$C$18*Q45)</f>
        <v>129.2215502659941</v>
      </c>
      <c r="AY45" s="1">
        <f>(AX45*$C$18-CE45)/($C$17-$C$18*R45)</f>
        <v>124.62535648390335</v>
      </c>
      <c r="AZ45" s="1">
        <f>(AY45*$C$18-CF45)/($C$17-$C$18*S45)</f>
        <v>120.14128564063337</v>
      </c>
      <c r="BA45" s="1">
        <f>(AZ45*$C$18-CG45)/($C$17-$C$18*T45)</f>
        <v>115.77297349221993</v>
      </c>
      <c r="BB45" s="1">
        <f>(BA45*$C$18-CH45)/($C$17-$C$18*U45)</f>
        <v>111.52269801090492</v>
      </c>
      <c r="BC45" s="1">
        <f>(BB45*$C$18-CI45)/($C$17-$C$18*V45)</f>
        <v>107.39135294120193</v>
      </c>
      <c r="BD45" s="1">
        <f>(BC45*$C$18-CJ45)/($C$17-$C$18*W45)</f>
        <v>103.37843763518735</v>
      </c>
      <c r="BE45" s="1">
        <f>(BD45*$C$18-CK45)/($C$17-$C$18*X45)</f>
        <v>99.482063242813595</v>
      </c>
      <c r="BF45" s="1">
        <f>(BE45*$C$18-CL45)/($C$17-$C$18*Y45)</f>
        <v>95.698975165357766</v>
      </c>
      <c r="BG45" s="1">
        <f>(BF45*$C$18-CM45)/($C$17-$C$18*Z45)</f>
        <v>92.024591493690778</v>
      </c>
      <c r="BH45" s="1">
        <f>(BG45*$C$18-CN45)/($C$17-$C$18*AA45)</f>
        <v>88.453056967473771</v>
      </c>
      <c r="BI45" s="1">
        <f>(BH45*$C$18-CO45)/($C$17-$C$18*AB45)</f>
        <v>84.977311811400114</v>
      </c>
      <c r="BJ45" s="1">
        <f>(BI45*$C$18-CP45)/($C$17-$C$18*AC45)</f>
        <v>81.589174632617514</v>
      </c>
      <c r="BK45" s="1">
        <f>(BJ45*$C$18-CQ45)/($C$17-$C$18*AD45)</f>
        <v>78.279438401448786</v>
      </c>
      <c r="BL45" s="1">
        <f>(BK45*$C$18-CR45)/($C$17-$C$18*AE45)</f>
        <v>75.037978387256189</v>
      </c>
      <c r="BM45" s="1">
        <f>(BL45*$C$18-CS45)/($C$17-$C$18*AF45)</f>
        <v>71.853870784380788</v>
      </c>
      <c r="BN45" s="1">
        <f>(BM45*$C$18-CT45)/($C$17-$C$18*AG45)</f>
        <v>68.71552064099015</v>
      </c>
      <c r="BO45" s="1">
        <f>(BN45*$C$18-CU45)/($C$17-$C$18*AH45)</f>
        <v>65.610797597661673</v>
      </c>
      <c r="BP45" s="1">
        <f>(BO45*$C$18-CV45)/($C$17-$C$18*AI45)</f>
        <v>62.527177853718761</v>
      </c>
      <c r="BQ45" s="2"/>
      <c r="BR45" s="2"/>
      <c r="BS45" s="1">
        <f>-$C$10*$C$9*G12/$C$7</f>
        <v>-1076400000</v>
      </c>
      <c r="BT45" s="1">
        <f>-$C$10*$C$9*H12/$C$7</f>
        <v>-1045109385.7533032</v>
      </c>
      <c r="BU45" s="1">
        <f>-$C$10*$C$9*I12/$C$7</f>
        <v>-1013895556.5475094</v>
      </c>
      <c r="BV45" s="1">
        <f>-$C$10*$C$9*J12/$C$7</f>
        <v>-982834395.24029672</v>
      </c>
      <c r="BW45" s="1">
        <f>-$C$10*$C$9*K12/$C$7</f>
        <v>-951999990.99129403</v>
      </c>
      <c r="BX45" s="1">
        <f>-$C$10*$C$9*L12/$C$7</f>
        <v>-921463768.95472705</v>
      </c>
      <c r="BY45" s="1">
        <f>-$C$10*$C$9*M12/$C$7</f>
        <v>-891293651.46163261</v>
      </c>
      <c r="BZ45" s="1">
        <f>-$C$10*$C$9*N12/$C$7</f>
        <v>-861553260.59256744</v>
      </c>
      <c r="CA45" s="1">
        <f>-$C$10*$C$9*O12/$C$7</f>
        <v>-832301171.5413419</v>
      </c>
      <c r="CB45" s="1">
        <f>-$C$10*$C$9*P12/$C$7</f>
        <v>-803590225.55734682</v>
      </c>
      <c r="CC45" s="1">
        <f>-$C$10*$C$9*Q12/$C$7</f>
        <v>-775466910.53640854</v>
      </c>
      <c r="CD45" s="1">
        <f>-$C$10*$C$9*R12/$C$7</f>
        <v>-747970816.51721406</v>
      </c>
      <c r="CE45" s="1">
        <f>-$C$10*$C$9*S12/$C$7</f>
        <v>-721134172.44258082</v>
      </c>
      <c r="CF45" s="1">
        <f>-$C$10*$C$9*T12/$C$7</f>
        <v>-694981469.57368219</v>
      </c>
      <c r="CG45" s="1">
        <f>-$C$10*$C$9*U12/$C$7</f>
        <v>-669529175.91299987</v>
      </c>
      <c r="CH45" s="1">
        <f>-$C$10*$C$9*V12/$C$7</f>
        <v>-644785544.91116416</v>
      </c>
      <c r="CI45" s="1">
        <f>-$C$10*$C$9*W12/$C$7</f>
        <v>-620750520.61721981</v>
      </c>
      <c r="CJ45" s="1">
        <f>-$C$10*$C$9*X12/$C$7</f>
        <v>-597415740.29483044</v>
      </c>
      <c r="CK45" s="1">
        <f>-$C$10*$C$9*Y12/$C$7</f>
        <v>-574764634.38209069</v>
      </c>
      <c r="CL45" s="1">
        <f>-$C$10*$C$9*Z12/$C$7</f>
        <v>-552772622.53349257</v>
      </c>
      <c r="CM45" s="1">
        <f>-$C$10*$C$9*AA12/$C$7</f>
        <v>-531407403.36245596</v>
      </c>
      <c r="CN45" s="1">
        <f>-$C$10*$C$9*AB12/$C$7</f>
        <v>-510629334.41449469</v>
      </c>
      <c r="CO45" s="1">
        <f>-$C$10*$C$9*AC12/$C$7</f>
        <v>-490391897.85685027</v>
      </c>
      <c r="CP45" s="1">
        <f>-$C$10*$C$9*AD12/$C$7</f>
        <v>-470642246.38188463</v>
      </c>
      <c r="CQ45" s="1">
        <f>-$C$10*$C$9*AE12/$C$7</f>
        <v>-451321822.89950103</v>
      </c>
      <c r="CR45" s="1">
        <f>-$C$10*$C$9*AF12/$C$7</f>
        <v>-432367046.7483111</v>
      </c>
      <c r="CS45" s="1">
        <f>-$C$10*$C$9*AG12/$C$7</f>
        <v>-413710058.3951816</v>
      </c>
      <c r="CT45" s="1">
        <f>-$C$10*$C$9*AH12/$C$7</f>
        <v>-395279513.92616963</v>
      </c>
      <c r="CU45" s="1">
        <f>-$C$10*$C$9*AI12/$C$7</f>
        <v>-377001420.06560141</v>
      </c>
      <c r="CV45" s="1">
        <f>-$C$10*$C$9*AJ12/$C$7</f>
        <v>-358800000</v>
      </c>
      <c r="CW45" s="2"/>
      <c r="CX45" s="2"/>
      <c r="CY45" s="1">
        <f>G12</f>
        <v>300</v>
      </c>
      <c r="CZ45" s="1">
        <f t="shared" si="3"/>
        <v>291.30187853019203</v>
      </c>
      <c r="DA45" s="1">
        <f t="shared" si="4"/>
        <v>282.624889876655</v>
      </c>
      <c r="DB45" s="1">
        <f t="shared" si="5"/>
        <v>273.98991857563027</v>
      </c>
      <c r="DC45" s="1">
        <f t="shared" si="6"/>
        <v>265.41735553833519</v>
      </c>
      <c r="DD45" s="1">
        <f t="shared" si="7"/>
        <v>256.9268585404995</v>
      </c>
      <c r="DE45" s="1">
        <f t="shared" si="8"/>
        <v>248.53712137531267</v>
      </c>
      <c r="DF45" s="1">
        <f t="shared" si="9"/>
        <v>240.26565439391049</v>
      </c>
      <c r="DG45" s="1">
        <f t="shared" si="10"/>
        <v>232.1285790200107</v>
      </c>
      <c r="DH45" s="1">
        <f t="shared" si="11"/>
        <v>224.14043865682697</v>
      </c>
      <c r="DI45" s="1">
        <f t="shared" si="12"/>
        <v>216.31402820713868</v>
      </c>
      <c r="DJ45" s="1">
        <f t="shared" si="13"/>
        <v>208.6602442039181</v>
      </c>
      <c r="DK45" s="1">
        <f t="shared" si="14"/>
        <v>201.18795730208927</v>
      </c>
      <c r="DL45" s="1">
        <f t="shared" si="15"/>
        <v>193.90390861494166</v>
      </c>
      <c r="DM45" s="1">
        <f t="shared" si="16"/>
        <v>186.8126310948127</v>
      </c>
      <c r="DN45" s="1">
        <f t="shared" si="17"/>
        <v>179.91639686041714</v>
      </c>
      <c r="DO45" s="1">
        <f t="shared" si="18"/>
        <v>173.2151910662875</v>
      </c>
      <c r="DP45" s="1">
        <f t="shared" si="19"/>
        <v>166.70671259693168</v>
      </c>
      <c r="DQ45" s="1">
        <f t="shared" si="20"/>
        <v>160.3864015532493</v>
      </c>
      <c r="DR45" s="1">
        <f t="shared" si="21"/>
        <v>154.24749318520361</v>
      </c>
      <c r="DS45" s="1">
        <f t="shared" si="22"/>
        <v>148.28109761636637</v>
      </c>
      <c r="DT45" s="1">
        <f t="shared" si="23"/>
        <v>142.47630440628078</v>
      </c>
      <c r="DU45" s="1">
        <f t="shared" si="24"/>
        <v>136.82031070900103</v>
      </c>
      <c r="DV45" s="1">
        <f t="shared" si="25"/>
        <v>131.29857151387853</v>
      </c>
      <c r="DW45" s="1">
        <f t="shared" si="26"/>
        <v>125.89497020065429</v>
      </c>
      <c r="DX45" s="1">
        <f t="shared" si="27"/>
        <v>120.5920074079405</v>
      </c>
      <c r="DY45" s="1">
        <f t="shared" si="28"/>
        <v>115.37100600471631</v>
      </c>
      <c r="DZ45" s="1">
        <f t="shared" si="29"/>
        <v>110.21232977073694</v>
      </c>
      <c r="EA45" s="1">
        <f t="shared" si="30"/>
        <v>105.09561323567569</v>
      </c>
      <c r="EB45" s="1">
        <f>AJ12</f>
        <v>100</v>
      </c>
    </row>
    <row r="46" spans="4:132">
      <c r="D46" s="3"/>
      <c r="E46" s="3"/>
      <c r="F46" s="1">
        <v>19</v>
      </c>
      <c r="G46" s="1">
        <f>0</f>
        <v>0</v>
      </c>
      <c r="H46" s="1">
        <f>$C$16/($C$17-$C$18*G46)</f>
        <v>0.3415922014622258</v>
      </c>
      <c r="I46" s="1">
        <f>$C$16/($C$17-$C$18*H46)</f>
        <v>0.3867162803971414</v>
      </c>
      <c r="J46" s="1">
        <f>$C$16/($C$17-$C$18*I46)</f>
        <v>0.39358441341045353</v>
      </c>
      <c r="K46" s="1">
        <f>$C$16/($C$17-$C$18*J46)</f>
        <v>0.39465123071155611</v>
      </c>
      <c r="L46" s="1">
        <f>$C$16/($C$17-$C$18*K46)</f>
        <v>0.39481745705771337</v>
      </c>
      <c r="M46" s="1">
        <f>$C$16/($C$17-$C$18*L46)</f>
        <v>0.39484337025824801</v>
      </c>
      <c r="N46" s="1">
        <f>$C$16/($C$17-$C$18*M46)</f>
        <v>0.39484741020089792</v>
      </c>
      <c r="O46" s="1">
        <f>$C$16/($C$17-$C$18*N46)</f>
        <v>0.39484804004704999</v>
      </c>
      <c r="P46" s="1">
        <f>$C$16/($C$17-$C$18*O46)</f>
        <v>0.39484813824322279</v>
      </c>
      <c r="Q46" s="1">
        <f>$C$16/($C$17-$C$18*P46)</f>
        <v>0.39484815355250286</v>
      </c>
      <c r="R46" s="1">
        <f>$C$16/($C$17-$C$18*Q46)</f>
        <v>0.39484815593929717</v>
      </c>
      <c r="S46" s="1">
        <f>$C$16/($C$17-$C$18*R46)</f>
        <v>0.39484815631141046</v>
      </c>
      <c r="T46" s="1">
        <f>$C$16/($C$17-$C$18*S46)</f>
        <v>0.39484815636942483</v>
      </c>
      <c r="U46" s="1">
        <f>$C$16/($C$17-$C$18*T46)</f>
        <v>0.39484815637846954</v>
      </c>
      <c r="V46" s="1">
        <f>$C$16/($C$17-$C$18*U46)</f>
        <v>0.39484815637987963</v>
      </c>
      <c r="W46" s="1">
        <f>$C$16/($C$17-$C$18*V46)</f>
        <v>0.39484815638009951</v>
      </c>
      <c r="X46" s="1">
        <f>$C$16/($C$17-$C$18*W46)</f>
        <v>0.39484815638013382</v>
      </c>
      <c r="Y46" s="1">
        <f>$C$16/($C$17-$C$18*X46)</f>
        <v>0.39484815638013915</v>
      </c>
      <c r="Z46" s="1">
        <f>$C$16/($C$17-$C$18*Y46)</f>
        <v>0.39484815638013998</v>
      </c>
      <c r="AA46" s="1">
        <f>$C$16/($C$17-$C$18*Z46)</f>
        <v>0.39484815638014015</v>
      </c>
      <c r="AB46" s="1">
        <f>$C$16/($C$17-$C$18*AA46)</f>
        <v>0.39484815638014015</v>
      </c>
      <c r="AC46" s="1">
        <f>$C$16/($C$17-$C$18*AB46)</f>
        <v>0.39484815638014015</v>
      </c>
      <c r="AD46" s="1">
        <f>$C$16/($C$17-$C$18*AC46)</f>
        <v>0.39484815638014015</v>
      </c>
      <c r="AE46" s="1">
        <f>$C$16/($C$17-$C$18*AD46)</f>
        <v>0.39484815638014015</v>
      </c>
      <c r="AF46" s="1">
        <f>$C$16/($C$17-$C$18*AE46)</f>
        <v>0.39484815638014015</v>
      </c>
      <c r="AG46" s="1">
        <f>$C$16/($C$17-$C$18*AF46)</f>
        <v>0.39484815638014015</v>
      </c>
      <c r="AH46" s="1">
        <f>$C$16/($C$17-$C$18*AG46)</f>
        <v>0.39484815638014015</v>
      </c>
      <c r="AI46" s="1">
        <f>$C$16/($C$17-$C$18*AH46)</f>
        <v>0.39484815638014015</v>
      </c>
      <c r="AJ46" s="1">
        <f>$C$16/($C$17-$C$18*AI46)</f>
        <v>0.39484815638014015</v>
      </c>
      <c r="AK46" s="2"/>
      <c r="AL46" s="2"/>
      <c r="AM46" s="1">
        <f>G13</f>
        <v>300</v>
      </c>
      <c r="AN46" s="1">
        <f>(AM46*$C$18-BT46)/($C$17-$C$18*G46)</f>
        <v>194.75942020920633</v>
      </c>
      <c r="AO46" s="1">
        <f>(AN46*$C$18-BU46)/($C$17-$C$18*H46)</f>
        <v>176.66852769877164</v>
      </c>
      <c r="AP46" s="1">
        <f>(AO46*$C$18-BV46)/($C$17-$C$18*I46)</f>
        <v>169.52578438712084</v>
      </c>
      <c r="AQ46" s="1">
        <f>(AP46*$C$18-BW46)/($C$17-$C$18*J46)</f>
        <v>164.02085461247319</v>
      </c>
      <c r="AR46" s="1">
        <f>(AQ46*$C$18-BX46)/($C$17-$C$18*K46)</f>
        <v>158.80006429465433</v>
      </c>
      <c r="AS46" s="1">
        <f>(AR46*$C$18-BY46)/($C$17-$C$18*L46)</f>
        <v>153.66982063711768</v>
      </c>
      <c r="AT46" s="1">
        <f>(AS46*$C$18-BZ46)/($C$17-$C$18*M46)</f>
        <v>148.61028613424486</v>
      </c>
      <c r="AU46" s="1">
        <f>(AT46*$C$18-CA46)/($C$17-$C$18*N46)</f>
        <v>143.62716612107658</v>
      </c>
      <c r="AV46" s="1">
        <f>(AU46*$C$18-CB46)/($C$17-$C$18*O46)</f>
        <v>138.72924734334634</v>
      </c>
      <c r="AW46" s="1">
        <f>(AV46*$C$18-CC46)/($C$17-$C$18*P46)</f>
        <v>133.92491606340735</v>
      </c>
      <c r="AX46" s="1">
        <f>(AW46*$C$18-CD46)/($C$17-$C$18*Q46)</f>
        <v>129.22155026599415</v>
      </c>
      <c r="AY46" s="1">
        <f>(AX46*$C$18-CE46)/($C$17-$C$18*R46)</f>
        <v>124.62535648390343</v>
      </c>
      <c r="AZ46" s="1">
        <f>(AY46*$C$18-CF46)/($C$17-$C$18*S46)</f>
        <v>120.14128564063344</v>
      </c>
      <c r="BA46" s="1">
        <f>(AZ46*$C$18-CG46)/($C$17-$C$18*T46)</f>
        <v>115.77297349221999</v>
      </c>
      <c r="BB46" s="1">
        <f>(BA46*$C$18-CH46)/($C$17-$C$18*U46)</f>
        <v>111.52269801090497</v>
      </c>
      <c r="BC46" s="1">
        <f>(BB46*$C$18-CI46)/($C$17-$C$18*V46)</f>
        <v>107.39135294120196</v>
      </c>
      <c r="BD46" s="1">
        <f>(BC46*$C$18-CJ46)/($C$17-$C$18*W46)</f>
        <v>103.3784376351874</v>
      </c>
      <c r="BE46" s="1">
        <f>(BD46*$C$18-CK46)/($C$17-$C$18*X46)</f>
        <v>99.482063242813638</v>
      </c>
      <c r="BF46" s="1">
        <f>(BE46*$C$18-CL46)/($C$17-$C$18*Y46)</f>
        <v>95.698975165357794</v>
      </c>
      <c r="BG46" s="1">
        <f>(BF46*$C$18-CM46)/($C$17-$C$18*Z46)</f>
        <v>92.024591493690806</v>
      </c>
      <c r="BH46" s="1">
        <f>(BG46*$C$18-CN46)/($C$17-$C$18*AA46)</f>
        <v>88.453056967473799</v>
      </c>
      <c r="BI46" s="1">
        <f>(BH46*$C$18-CO46)/($C$17-$C$18*AB46)</f>
        <v>84.977311811400142</v>
      </c>
      <c r="BJ46" s="1">
        <f>(BI46*$C$18-CP46)/($C$17-$C$18*AC46)</f>
        <v>81.589174632617528</v>
      </c>
      <c r="BK46" s="1">
        <f>(BJ46*$C$18-CQ46)/($C$17-$C$18*AD46)</f>
        <v>78.279438401448829</v>
      </c>
      <c r="BL46" s="1">
        <f>(BK46*$C$18-CR46)/($C$17-$C$18*AE46)</f>
        <v>75.037978387256231</v>
      </c>
      <c r="BM46" s="1">
        <f>(BL46*$C$18-CS46)/($C$17-$C$18*AF46)</f>
        <v>71.853870784380817</v>
      </c>
      <c r="BN46" s="1">
        <f>(BM46*$C$18-CT46)/($C$17-$C$18*AG46)</f>
        <v>68.715520640990164</v>
      </c>
      <c r="BO46" s="1">
        <f>(BN46*$C$18-CU46)/($C$17-$C$18*AH46)</f>
        <v>65.610797597661687</v>
      </c>
      <c r="BP46" s="1">
        <f>(BO46*$C$18-CV46)/($C$17-$C$18*AI46)</f>
        <v>62.527177853718776</v>
      </c>
      <c r="BQ46" s="2"/>
      <c r="BR46" s="2"/>
      <c r="BS46" s="1">
        <f>-$C$10*$C$9*G13/$C$7</f>
        <v>-1076400000</v>
      </c>
      <c r="BT46" s="1">
        <f>-$C$10*$C$9*H13/$C$7</f>
        <v>-1045109385.7533032</v>
      </c>
      <c r="BU46" s="1">
        <f>-$C$10*$C$9*I13/$C$7</f>
        <v>-1013895556.5475096</v>
      </c>
      <c r="BV46" s="1">
        <f>-$C$10*$C$9*J13/$C$7</f>
        <v>-982834395.24029708</v>
      </c>
      <c r="BW46" s="1">
        <f>-$C$10*$C$9*K13/$C$7</f>
        <v>-951999990.99129426</v>
      </c>
      <c r="BX46" s="1">
        <f>-$C$10*$C$9*L13/$C$7</f>
        <v>-921463768.95472717</v>
      </c>
      <c r="BY46" s="1">
        <f>-$C$10*$C$9*M13/$C$7</f>
        <v>-891293651.46163309</v>
      </c>
      <c r="BZ46" s="1">
        <f>-$C$10*$C$9*N13/$C$7</f>
        <v>-861553260.59256768</v>
      </c>
      <c r="CA46" s="1">
        <f>-$C$10*$C$9*O13/$C$7</f>
        <v>-832301171.54134226</v>
      </c>
      <c r="CB46" s="1">
        <f>-$C$10*$C$9*P13/$C$7</f>
        <v>-803590225.55734718</v>
      </c>
      <c r="CC46" s="1">
        <f>-$C$10*$C$9*Q13/$C$7</f>
        <v>-775466910.5364089</v>
      </c>
      <c r="CD46" s="1">
        <f>-$C$10*$C$9*R13/$C$7</f>
        <v>-747970816.5172143</v>
      </c>
      <c r="CE46" s="1">
        <f>-$C$10*$C$9*S13/$C$7</f>
        <v>-721134172.4425813</v>
      </c>
      <c r="CF46" s="1">
        <f>-$C$10*$C$9*T13/$C$7</f>
        <v>-694981469.57368255</v>
      </c>
      <c r="CG46" s="1">
        <f>-$C$10*$C$9*U13/$C$7</f>
        <v>-669529175.91300023</v>
      </c>
      <c r="CH46" s="1">
        <f>-$C$10*$C$9*V13/$C$7</f>
        <v>-644785544.91116452</v>
      </c>
      <c r="CI46" s="1">
        <f>-$C$10*$C$9*W13/$C$7</f>
        <v>-620750520.61721981</v>
      </c>
      <c r="CJ46" s="1">
        <f>-$C$10*$C$9*X13/$C$7</f>
        <v>-597415740.29483068</v>
      </c>
      <c r="CK46" s="1">
        <f>-$C$10*$C$9*Y13/$C$7</f>
        <v>-574764634.38209093</v>
      </c>
      <c r="CL46" s="1">
        <f>-$C$10*$C$9*Z13/$C$7</f>
        <v>-552772622.53349268</v>
      </c>
      <c r="CM46" s="1">
        <f>-$C$10*$C$9*AA13/$C$7</f>
        <v>-531407403.3624562</v>
      </c>
      <c r="CN46" s="1">
        <f>-$C$10*$C$9*AB13/$C$7</f>
        <v>-510629334.41449493</v>
      </c>
      <c r="CO46" s="1">
        <f>-$C$10*$C$9*AC13/$C$7</f>
        <v>-490391897.85685045</v>
      </c>
      <c r="CP46" s="1">
        <f>-$C$10*$C$9*AD13/$C$7</f>
        <v>-470642246.38188469</v>
      </c>
      <c r="CQ46" s="1">
        <f>-$C$10*$C$9*AE13/$C$7</f>
        <v>-451321822.89950126</v>
      </c>
      <c r="CR46" s="1">
        <f>-$C$10*$C$9*AF13/$C$7</f>
        <v>-432367046.74831128</v>
      </c>
      <c r="CS46" s="1">
        <f>-$C$10*$C$9*AG13/$C$7</f>
        <v>-413710058.39518172</v>
      </c>
      <c r="CT46" s="1">
        <f>-$C$10*$C$9*AH13/$C$7</f>
        <v>-395279513.92616969</v>
      </c>
      <c r="CU46" s="1">
        <f>-$C$10*$C$9*AI13/$C$7</f>
        <v>-377001420.06560153</v>
      </c>
      <c r="CV46" s="1">
        <f>-$C$10*$C$9*AJ13/$C$7</f>
        <v>-358800000</v>
      </c>
      <c r="CW46" s="2"/>
      <c r="CX46" s="2"/>
      <c r="CY46" s="1">
        <f>G13</f>
        <v>300</v>
      </c>
      <c r="CZ46" s="1">
        <f t="shared" si="3"/>
        <v>291.30187853019203</v>
      </c>
      <c r="DA46" s="1">
        <f t="shared" si="4"/>
        <v>282.624889876655</v>
      </c>
      <c r="DB46" s="1">
        <f t="shared" si="5"/>
        <v>273.98991857563027</v>
      </c>
      <c r="DC46" s="1">
        <f t="shared" si="6"/>
        <v>265.41735553833519</v>
      </c>
      <c r="DD46" s="1">
        <f t="shared" si="7"/>
        <v>256.92685854049955</v>
      </c>
      <c r="DE46" s="1">
        <f t="shared" si="8"/>
        <v>248.53712137531278</v>
      </c>
      <c r="DF46" s="1">
        <f t="shared" si="9"/>
        <v>240.26565439391061</v>
      </c>
      <c r="DG46" s="1">
        <f t="shared" si="10"/>
        <v>232.12857902001079</v>
      </c>
      <c r="DH46" s="1">
        <f t="shared" si="11"/>
        <v>224.14043865682709</v>
      </c>
      <c r="DI46" s="1">
        <f t="shared" si="12"/>
        <v>216.31402820713879</v>
      </c>
      <c r="DJ46" s="1">
        <f t="shared" si="13"/>
        <v>208.66024420391821</v>
      </c>
      <c r="DK46" s="1">
        <f t="shared" si="14"/>
        <v>201.18795730208939</v>
      </c>
      <c r="DL46" s="1">
        <f t="shared" si="15"/>
        <v>193.90390861494177</v>
      </c>
      <c r="DM46" s="1">
        <f t="shared" si="16"/>
        <v>186.81263109481279</v>
      </c>
      <c r="DN46" s="1">
        <f t="shared" si="17"/>
        <v>179.91639686041719</v>
      </c>
      <c r="DO46" s="1">
        <f t="shared" si="18"/>
        <v>173.21519106628756</v>
      </c>
      <c r="DP46" s="1">
        <f t="shared" si="19"/>
        <v>166.70671259693174</v>
      </c>
      <c r="DQ46" s="1">
        <f t="shared" si="20"/>
        <v>160.38640155324936</v>
      </c>
      <c r="DR46" s="1">
        <f t="shared" si="21"/>
        <v>154.24749318520364</v>
      </c>
      <c r="DS46" s="1">
        <f t="shared" si="22"/>
        <v>148.28109761636642</v>
      </c>
      <c r="DT46" s="1">
        <f t="shared" si="23"/>
        <v>142.47630440628083</v>
      </c>
      <c r="DU46" s="1">
        <f t="shared" si="24"/>
        <v>136.82031070900109</v>
      </c>
      <c r="DV46" s="1">
        <f t="shared" si="25"/>
        <v>131.29857151387858</v>
      </c>
      <c r="DW46" s="1">
        <f t="shared" si="26"/>
        <v>125.89497020065437</v>
      </c>
      <c r="DX46" s="1">
        <f t="shared" si="27"/>
        <v>120.59200740794057</v>
      </c>
      <c r="DY46" s="1">
        <f t="shared" si="28"/>
        <v>115.37100600471635</v>
      </c>
      <c r="DZ46" s="1">
        <f t="shared" si="29"/>
        <v>110.21232977073697</v>
      </c>
      <c r="EA46" s="1">
        <f t="shared" si="30"/>
        <v>105.0956132356757</v>
      </c>
      <c r="EB46" s="1">
        <f>AJ13</f>
        <v>100</v>
      </c>
    </row>
    <row r="47" spans="4:132">
      <c r="D47" s="3"/>
      <c r="E47" s="3"/>
      <c r="F47" s="1">
        <v>18</v>
      </c>
      <c r="G47" s="1">
        <f>0</f>
        <v>0</v>
      </c>
      <c r="H47" s="1">
        <f>$C$16/($C$17-$C$18*G47)</f>
        <v>0.3415922014622258</v>
      </c>
      <c r="I47" s="1">
        <f>$C$16/($C$17-$C$18*H47)</f>
        <v>0.3867162803971414</v>
      </c>
      <c r="J47" s="1">
        <f>$C$16/($C$17-$C$18*I47)</f>
        <v>0.39358441341045353</v>
      </c>
      <c r="K47" s="1">
        <f>$C$16/($C$17-$C$18*J47)</f>
        <v>0.39465123071155611</v>
      </c>
      <c r="L47" s="1">
        <f>$C$16/($C$17-$C$18*K47)</f>
        <v>0.39481745705771337</v>
      </c>
      <c r="M47" s="1">
        <f>$C$16/($C$17-$C$18*L47)</f>
        <v>0.39484337025824801</v>
      </c>
      <c r="N47" s="1">
        <f>$C$16/($C$17-$C$18*M47)</f>
        <v>0.39484741020089792</v>
      </c>
      <c r="O47" s="1">
        <f>$C$16/($C$17-$C$18*N47)</f>
        <v>0.39484804004704999</v>
      </c>
      <c r="P47" s="1">
        <f>$C$16/($C$17-$C$18*O47)</f>
        <v>0.39484813824322279</v>
      </c>
      <c r="Q47" s="1">
        <f>$C$16/($C$17-$C$18*P47)</f>
        <v>0.39484815355250286</v>
      </c>
      <c r="R47" s="1">
        <f>$C$16/($C$17-$C$18*Q47)</f>
        <v>0.39484815593929717</v>
      </c>
      <c r="S47" s="1">
        <f>$C$16/($C$17-$C$18*R47)</f>
        <v>0.39484815631141046</v>
      </c>
      <c r="T47" s="1">
        <f>$C$16/($C$17-$C$18*S47)</f>
        <v>0.39484815636942483</v>
      </c>
      <c r="U47" s="1">
        <f>$C$16/($C$17-$C$18*T47)</f>
        <v>0.39484815637846954</v>
      </c>
      <c r="V47" s="1">
        <f>$C$16/($C$17-$C$18*U47)</f>
        <v>0.39484815637987963</v>
      </c>
      <c r="W47" s="1">
        <f>$C$16/($C$17-$C$18*V47)</f>
        <v>0.39484815638009951</v>
      </c>
      <c r="X47" s="1">
        <f>$C$16/($C$17-$C$18*W47)</f>
        <v>0.39484815638013382</v>
      </c>
      <c r="Y47" s="1">
        <f>$C$16/($C$17-$C$18*X47)</f>
        <v>0.39484815638013915</v>
      </c>
      <c r="Z47" s="1">
        <f>$C$16/($C$17-$C$18*Y47)</f>
        <v>0.39484815638013998</v>
      </c>
      <c r="AA47" s="1">
        <f>$C$16/($C$17-$C$18*Z47)</f>
        <v>0.39484815638014015</v>
      </c>
      <c r="AB47" s="1">
        <f>$C$16/($C$17-$C$18*AA47)</f>
        <v>0.39484815638014015</v>
      </c>
      <c r="AC47" s="1">
        <f>$C$16/($C$17-$C$18*AB47)</f>
        <v>0.39484815638014015</v>
      </c>
      <c r="AD47" s="1">
        <f>$C$16/($C$17-$C$18*AC47)</f>
        <v>0.39484815638014015</v>
      </c>
      <c r="AE47" s="1">
        <f>$C$16/($C$17-$C$18*AD47)</f>
        <v>0.39484815638014015</v>
      </c>
      <c r="AF47" s="1">
        <f>$C$16/($C$17-$C$18*AE47)</f>
        <v>0.39484815638014015</v>
      </c>
      <c r="AG47" s="1">
        <f>$C$16/($C$17-$C$18*AF47)</f>
        <v>0.39484815638014015</v>
      </c>
      <c r="AH47" s="1">
        <f>$C$16/($C$17-$C$18*AG47)</f>
        <v>0.39484815638014015</v>
      </c>
      <c r="AI47" s="1">
        <f>$C$16/($C$17-$C$18*AH47)</f>
        <v>0.39484815638014015</v>
      </c>
      <c r="AJ47" s="1">
        <f>$C$16/($C$17-$C$18*AI47)</f>
        <v>0.39484815638014015</v>
      </c>
      <c r="AK47" s="2"/>
      <c r="AL47" s="2"/>
      <c r="AM47" s="1">
        <f>G14</f>
        <v>300</v>
      </c>
      <c r="AN47" s="1">
        <f>(AM47*$C$18-BT47)/($C$17-$C$18*G47)</f>
        <v>194.75942020920633</v>
      </c>
      <c r="AO47" s="1">
        <f>(AN47*$C$18-BU47)/($C$17-$C$18*H47)</f>
        <v>176.66852769877164</v>
      </c>
      <c r="AP47" s="1">
        <f>(AO47*$C$18-BV47)/($C$17-$C$18*I47)</f>
        <v>169.52578438712084</v>
      </c>
      <c r="AQ47" s="1">
        <f>(AP47*$C$18-BW47)/($C$17-$C$18*J47)</f>
        <v>164.02085461247319</v>
      </c>
      <c r="AR47" s="1">
        <f>(AQ47*$C$18-BX47)/($C$17-$C$18*K47)</f>
        <v>158.80006429465433</v>
      </c>
      <c r="AS47" s="1">
        <f>(AR47*$C$18-BY47)/($C$17-$C$18*L47)</f>
        <v>153.66982063711768</v>
      </c>
      <c r="AT47" s="1">
        <f>(AS47*$C$18-BZ47)/($C$17-$C$18*M47)</f>
        <v>148.61028613424486</v>
      </c>
      <c r="AU47" s="1">
        <f>(AT47*$C$18-CA47)/($C$17-$C$18*N47)</f>
        <v>143.62716612107658</v>
      </c>
      <c r="AV47" s="1">
        <f>(AU47*$C$18-CB47)/($C$17-$C$18*O47)</f>
        <v>138.72924734334634</v>
      </c>
      <c r="AW47" s="1">
        <f>(AV47*$C$18-CC47)/($C$17-$C$18*P47)</f>
        <v>133.92491606340738</v>
      </c>
      <c r="AX47" s="1">
        <f>(AW47*$C$18-CD47)/($C$17-$C$18*Q47)</f>
        <v>129.22155026599418</v>
      </c>
      <c r="AY47" s="1">
        <f>(AX47*$C$18-CE47)/($C$17-$C$18*R47)</f>
        <v>124.62535648390343</v>
      </c>
      <c r="AZ47" s="1">
        <f>(AY47*$C$18-CF47)/($C$17-$C$18*S47)</f>
        <v>120.14128564063344</v>
      </c>
      <c r="BA47" s="1">
        <f>(AZ47*$C$18-CG47)/($C$17-$C$18*T47)</f>
        <v>115.77297349222</v>
      </c>
      <c r="BB47" s="1">
        <f>(BA47*$C$18-CH47)/($C$17-$C$18*U47)</f>
        <v>111.52269801090502</v>
      </c>
      <c r="BC47" s="1">
        <f>(BB47*$C$18-CI47)/($C$17-$C$18*V47)</f>
        <v>107.391352941202</v>
      </c>
      <c r="BD47" s="1">
        <f>(BC47*$C$18-CJ47)/($C$17-$C$18*W47)</f>
        <v>103.37843763518744</v>
      </c>
      <c r="BE47" s="1">
        <f>(BD47*$C$18-CK47)/($C$17-$C$18*X47)</f>
        <v>99.482063242813666</v>
      </c>
      <c r="BF47" s="1">
        <f>(BE47*$C$18-CL47)/($C$17-$C$18*Y47)</f>
        <v>95.698975165357822</v>
      </c>
      <c r="BG47" s="1">
        <f>(BF47*$C$18-CM47)/($C$17-$C$18*Z47)</f>
        <v>92.024591493690835</v>
      </c>
      <c r="BH47" s="1">
        <f>(BG47*$C$18-CN47)/($C$17-$C$18*AA47)</f>
        <v>88.453056967473827</v>
      </c>
      <c r="BI47" s="1">
        <f>(BH47*$C$18-CO47)/($C$17-$C$18*AB47)</f>
        <v>84.977311811400156</v>
      </c>
      <c r="BJ47" s="1">
        <f>(BI47*$C$18-CP47)/($C$17-$C$18*AC47)</f>
        <v>81.589174632617542</v>
      </c>
      <c r="BK47" s="1">
        <f>(BJ47*$C$18-CQ47)/($C$17-$C$18*AD47)</f>
        <v>78.279438401448843</v>
      </c>
      <c r="BL47" s="1">
        <f>(BK47*$C$18-CR47)/($C$17-$C$18*AE47)</f>
        <v>75.037978387256231</v>
      </c>
      <c r="BM47" s="1">
        <f>(BL47*$C$18-CS47)/($C$17-$C$18*AF47)</f>
        <v>71.853870784380817</v>
      </c>
      <c r="BN47" s="1">
        <f>(BM47*$C$18-CT47)/($C$17-$C$18*AG47)</f>
        <v>68.715520640990164</v>
      </c>
      <c r="BO47" s="1">
        <f>(BN47*$C$18-CU47)/($C$17-$C$18*AH47)</f>
        <v>65.610797597661687</v>
      </c>
      <c r="BP47" s="1">
        <f>(BO47*$C$18-CV47)/($C$17-$C$18*AI47)</f>
        <v>62.527177853718776</v>
      </c>
      <c r="BQ47" s="2"/>
      <c r="BR47" s="2"/>
      <c r="BS47" s="1">
        <f>-$C$10*$C$9*G14/$C$7</f>
        <v>-1076400000</v>
      </c>
      <c r="BT47" s="1">
        <f>-$C$10*$C$9*H14/$C$7</f>
        <v>-1045109385.7533032</v>
      </c>
      <c r="BU47" s="1">
        <f>-$C$10*$C$9*I14/$C$7</f>
        <v>-1013895556.5475096</v>
      </c>
      <c r="BV47" s="1">
        <f>-$C$10*$C$9*J14/$C$7</f>
        <v>-982834395.24029708</v>
      </c>
      <c r="BW47" s="1">
        <f>-$C$10*$C$9*K14/$C$7</f>
        <v>-951999990.99129426</v>
      </c>
      <c r="BX47" s="1">
        <f>-$C$10*$C$9*L14/$C$7</f>
        <v>-921463768.95472717</v>
      </c>
      <c r="BY47" s="1">
        <f>-$C$10*$C$9*M14/$C$7</f>
        <v>-891293651.46163321</v>
      </c>
      <c r="BZ47" s="1">
        <f>-$C$10*$C$9*N14/$C$7</f>
        <v>-861553260.5925678</v>
      </c>
      <c r="CA47" s="1">
        <f>-$C$10*$C$9*O14/$C$7</f>
        <v>-832301171.54134226</v>
      </c>
      <c r="CB47" s="1">
        <f>-$C$10*$C$9*P14/$C$7</f>
        <v>-803590225.5573473</v>
      </c>
      <c r="CC47" s="1">
        <f>-$C$10*$C$9*Q14/$C$7</f>
        <v>-775466910.53640914</v>
      </c>
      <c r="CD47" s="1">
        <f>-$C$10*$C$9*R14/$C$7</f>
        <v>-747970816.51721442</v>
      </c>
      <c r="CE47" s="1">
        <f>-$C$10*$C$9*S14/$C$7</f>
        <v>-721134172.4425813</v>
      </c>
      <c r="CF47" s="1">
        <f>-$C$10*$C$9*T14/$C$7</f>
        <v>-694981469.57368255</v>
      </c>
      <c r="CG47" s="1">
        <f>-$C$10*$C$9*U14/$C$7</f>
        <v>-669529175.91300035</v>
      </c>
      <c r="CH47" s="1">
        <f>-$C$10*$C$9*V14/$C$7</f>
        <v>-644785544.91116476</v>
      </c>
      <c r="CI47" s="1">
        <f>-$C$10*$C$9*W14/$C$7</f>
        <v>-620750520.61722004</v>
      </c>
      <c r="CJ47" s="1">
        <f>-$C$10*$C$9*X14/$C$7</f>
        <v>-597415740.29483092</v>
      </c>
      <c r="CK47" s="1">
        <f>-$C$10*$C$9*Y14/$C$7</f>
        <v>-574764634.38209093</v>
      </c>
      <c r="CL47" s="1">
        <f>-$C$10*$C$9*Z14/$C$7</f>
        <v>-552772622.5334928</v>
      </c>
      <c r="CM47" s="1">
        <f>-$C$10*$C$9*AA14/$C$7</f>
        <v>-531407403.36245632</v>
      </c>
      <c r="CN47" s="1">
        <f>-$C$10*$C$9*AB14/$C$7</f>
        <v>-510629334.41449499</v>
      </c>
      <c r="CO47" s="1">
        <f>-$C$10*$C$9*AC14/$C$7</f>
        <v>-490391897.85685056</v>
      </c>
      <c r="CP47" s="1">
        <f>-$C$10*$C$9*AD14/$C$7</f>
        <v>-470642246.38188469</v>
      </c>
      <c r="CQ47" s="1">
        <f>-$C$10*$C$9*AE14/$C$7</f>
        <v>-451321822.89950126</v>
      </c>
      <c r="CR47" s="1">
        <f>-$C$10*$C$9*AF14/$C$7</f>
        <v>-432367046.74831128</v>
      </c>
      <c r="CS47" s="1">
        <f>-$C$10*$C$9*AG14/$C$7</f>
        <v>-413710058.39518172</v>
      </c>
      <c r="CT47" s="1">
        <f>-$C$10*$C$9*AH14/$C$7</f>
        <v>-395279513.92616969</v>
      </c>
      <c r="CU47" s="1">
        <f>-$C$10*$C$9*AI14/$C$7</f>
        <v>-377001420.06560153</v>
      </c>
      <c r="CV47" s="1">
        <f>-$C$10*$C$9*AJ14/$C$7</f>
        <v>-358800000</v>
      </c>
      <c r="CW47" s="2"/>
      <c r="CX47" s="2"/>
      <c r="CY47" s="1">
        <f>G14</f>
        <v>300</v>
      </c>
      <c r="CZ47" s="1">
        <f t="shared" si="3"/>
        <v>291.30187853019203</v>
      </c>
      <c r="DA47" s="1">
        <f t="shared" si="4"/>
        <v>282.624889876655</v>
      </c>
      <c r="DB47" s="1">
        <f t="shared" si="5"/>
        <v>273.98991857563027</v>
      </c>
      <c r="DC47" s="1">
        <f t="shared" si="6"/>
        <v>265.41735553833519</v>
      </c>
      <c r="DD47" s="1">
        <f t="shared" si="7"/>
        <v>256.92685854049955</v>
      </c>
      <c r="DE47" s="1">
        <f t="shared" si="8"/>
        <v>248.53712137531278</v>
      </c>
      <c r="DF47" s="1">
        <f t="shared" si="9"/>
        <v>240.26565439391061</v>
      </c>
      <c r="DG47" s="1">
        <f t="shared" si="10"/>
        <v>232.12857902001079</v>
      </c>
      <c r="DH47" s="1">
        <f t="shared" si="11"/>
        <v>224.14043865682709</v>
      </c>
      <c r="DI47" s="1">
        <f t="shared" si="12"/>
        <v>216.31402820713885</v>
      </c>
      <c r="DJ47" s="1">
        <f t="shared" si="13"/>
        <v>208.66024420391824</v>
      </c>
      <c r="DK47" s="1">
        <f t="shared" si="14"/>
        <v>201.18795730208939</v>
      </c>
      <c r="DL47" s="1">
        <f t="shared" si="15"/>
        <v>193.90390861494177</v>
      </c>
      <c r="DM47" s="1">
        <f t="shared" si="16"/>
        <v>186.81263109481284</v>
      </c>
      <c r="DN47" s="1">
        <f t="shared" si="17"/>
        <v>179.91639686041728</v>
      </c>
      <c r="DO47" s="1">
        <f t="shared" si="18"/>
        <v>173.21519106628762</v>
      </c>
      <c r="DP47" s="1">
        <f t="shared" si="19"/>
        <v>166.70671259693179</v>
      </c>
      <c r="DQ47" s="1">
        <f t="shared" si="20"/>
        <v>160.38640155324941</v>
      </c>
      <c r="DR47" s="1">
        <f t="shared" si="21"/>
        <v>154.24749318520369</v>
      </c>
      <c r="DS47" s="1">
        <f t="shared" si="22"/>
        <v>148.28109761636648</v>
      </c>
      <c r="DT47" s="1">
        <f t="shared" si="23"/>
        <v>142.47630440628086</v>
      </c>
      <c r="DU47" s="1">
        <f t="shared" si="24"/>
        <v>136.82031070900112</v>
      </c>
      <c r="DV47" s="1">
        <f t="shared" si="25"/>
        <v>131.29857151387861</v>
      </c>
      <c r="DW47" s="1">
        <f t="shared" si="26"/>
        <v>125.89497020065437</v>
      </c>
      <c r="DX47" s="1">
        <f t="shared" si="27"/>
        <v>120.59200740794057</v>
      </c>
      <c r="DY47" s="1">
        <f t="shared" si="28"/>
        <v>115.37100600471635</v>
      </c>
      <c r="DZ47" s="1">
        <f t="shared" si="29"/>
        <v>110.21232977073697</v>
      </c>
      <c r="EA47" s="1">
        <f t="shared" si="30"/>
        <v>105.0956132356757</v>
      </c>
      <c r="EB47" s="1">
        <f>AJ14</f>
        <v>100</v>
      </c>
    </row>
    <row r="48" spans="4:132">
      <c r="D48" s="3"/>
      <c r="E48" s="3"/>
      <c r="F48" s="1">
        <v>17</v>
      </c>
      <c r="G48" s="1">
        <f>0</f>
        <v>0</v>
      </c>
      <c r="H48" s="1">
        <f>$C$16/($C$17-$C$18*G48)</f>
        <v>0.3415922014622258</v>
      </c>
      <c r="I48" s="1">
        <f>$C$16/($C$17-$C$18*H48)</f>
        <v>0.3867162803971414</v>
      </c>
      <c r="J48" s="1">
        <f>$C$16/($C$17-$C$18*I48)</f>
        <v>0.39358441341045353</v>
      </c>
      <c r="K48" s="1">
        <f>$C$16/($C$17-$C$18*J48)</f>
        <v>0.39465123071155611</v>
      </c>
      <c r="L48" s="1">
        <f>$C$16/($C$17-$C$18*K48)</f>
        <v>0.39481745705771337</v>
      </c>
      <c r="M48" s="1">
        <f>$C$16/($C$17-$C$18*L48)</f>
        <v>0.39484337025824801</v>
      </c>
      <c r="N48" s="1">
        <f>$C$16/($C$17-$C$18*M48)</f>
        <v>0.39484741020089792</v>
      </c>
      <c r="O48" s="1">
        <f>$C$16/($C$17-$C$18*N48)</f>
        <v>0.39484804004704999</v>
      </c>
      <c r="P48" s="1">
        <f>$C$16/($C$17-$C$18*O48)</f>
        <v>0.39484813824322279</v>
      </c>
      <c r="Q48" s="1">
        <f>$C$16/($C$17-$C$18*P48)</f>
        <v>0.39484815355250286</v>
      </c>
      <c r="R48" s="1">
        <f>$C$16/($C$17-$C$18*Q48)</f>
        <v>0.39484815593929717</v>
      </c>
      <c r="S48" s="1">
        <f>$C$16/($C$17-$C$18*R48)</f>
        <v>0.39484815631141046</v>
      </c>
      <c r="T48" s="1">
        <f>$C$16/($C$17-$C$18*S48)</f>
        <v>0.39484815636942483</v>
      </c>
      <c r="U48" s="1">
        <f>$C$16/($C$17-$C$18*T48)</f>
        <v>0.39484815637846954</v>
      </c>
      <c r="V48" s="1">
        <f>$C$16/($C$17-$C$18*U48)</f>
        <v>0.39484815637987963</v>
      </c>
      <c r="W48" s="1">
        <f>$C$16/($C$17-$C$18*V48)</f>
        <v>0.39484815638009951</v>
      </c>
      <c r="X48" s="1">
        <f>$C$16/($C$17-$C$18*W48)</f>
        <v>0.39484815638013382</v>
      </c>
      <c r="Y48" s="1">
        <f>$C$16/($C$17-$C$18*X48)</f>
        <v>0.39484815638013915</v>
      </c>
      <c r="Z48" s="1">
        <f>$C$16/($C$17-$C$18*Y48)</f>
        <v>0.39484815638013998</v>
      </c>
      <c r="AA48" s="1">
        <f>$C$16/($C$17-$C$18*Z48)</f>
        <v>0.39484815638014015</v>
      </c>
      <c r="AB48" s="1">
        <f>$C$16/($C$17-$C$18*AA48)</f>
        <v>0.39484815638014015</v>
      </c>
      <c r="AC48" s="1">
        <f>$C$16/($C$17-$C$18*AB48)</f>
        <v>0.39484815638014015</v>
      </c>
      <c r="AD48" s="1">
        <f>$C$16/($C$17-$C$18*AC48)</f>
        <v>0.39484815638014015</v>
      </c>
      <c r="AE48" s="1">
        <f>$C$16/($C$17-$C$18*AD48)</f>
        <v>0.39484815638014015</v>
      </c>
      <c r="AF48" s="1">
        <f>$C$16/($C$17-$C$18*AE48)</f>
        <v>0.39484815638014015</v>
      </c>
      <c r="AG48" s="1">
        <f>$C$16/($C$17-$C$18*AF48)</f>
        <v>0.39484815638014015</v>
      </c>
      <c r="AH48" s="1">
        <f>$C$16/($C$17-$C$18*AG48)</f>
        <v>0.39484815638014015</v>
      </c>
      <c r="AI48" s="1">
        <f>$C$16/($C$17-$C$18*AH48)</f>
        <v>0.39484815638014015</v>
      </c>
      <c r="AJ48" s="1">
        <f>$C$16/($C$17-$C$18*AI48)</f>
        <v>0.39484815638014015</v>
      </c>
      <c r="AK48" s="2"/>
      <c r="AL48" s="2"/>
      <c r="AM48" s="1">
        <f>G15</f>
        <v>300</v>
      </c>
      <c r="AN48" s="1">
        <f>(AM48*$C$18-BT48)/($C$17-$C$18*G48)</f>
        <v>194.75942020920627</v>
      </c>
      <c r="AO48" s="1">
        <f>(AN48*$C$18-BU48)/($C$17-$C$18*H48)</f>
        <v>176.66852769877164</v>
      </c>
      <c r="AP48" s="1">
        <f>(AO48*$C$18-BV48)/($C$17-$C$18*I48)</f>
        <v>169.52578438712084</v>
      </c>
      <c r="AQ48" s="1">
        <f>(AP48*$C$18-BW48)/($C$17-$C$18*J48)</f>
        <v>164.02085461247324</v>
      </c>
      <c r="AR48" s="1">
        <f>(AQ48*$C$18-BX48)/($C$17-$C$18*K48)</f>
        <v>158.80006429465436</v>
      </c>
      <c r="AS48" s="1">
        <f>(AR48*$C$18-BY48)/($C$17-$C$18*L48)</f>
        <v>153.66982063711768</v>
      </c>
      <c r="AT48" s="1">
        <f>(AS48*$C$18-BZ48)/($C$17-$C$18*M48)</f>
        <v>148.61028613424486</v>
      </c>
      <c r="AU48" s="1">
        <f>(AT48*$C$18-CA48)/($C$17-$C$18*N48)</f>
        <v>143.62716612107658</v>
      </c>
      <c r="AV48" s="1">
        <f>(AU48*$C$18-CB48)/($C$17-$C$18*O48)</f>
        <v>138.72924734334634</v>
      </c>
      <c r="AW48" s="1">
        <f>(AV48*$C$18-CC48)/($C$17-$C$18*P48)</f>
        <v>133.92491606340738</v>
      </c>
      <c r="AX48" s="1">
        <f>(AW48*$C$18-CD48)/($C$17-$C$18*Q48)</f>
        <v>129.22155026599418</v>
      </c>
      <c r="AY48" s="1">
        <f>(AX48*$C$18-CE48)/($C$17-$C$18*R48)</f>
        <v>124.62535648390345</v>
      </c>
      <c r="AZ48" s="1">
        <f>(AY48*$C$18-CF48)/($C$17-$C$18*S48)</f>
        <v>120.14128564063346</v>
      </c>
      <c r="BA48" s="1">
        <f>(AZ48*$C$18-CG48)/($C$17-$C$18*T48)</f>
        <v>115.77297349222</v>
      </c>
      <c r="BB48" s="1">
        <f>(BA48*$C$18-CH48)/($C$17-$C$18*U48)</f>
        <v>111.52269801090502</v>
      </c>
      <c r="BC48" s="1">
        <f>(BB48*$C$18-CI48)/($C$17-$C$18*V48)</f>
        <v>107.391352941202</v>
      </c>
      <c r="BD48" s="1">
        <f>(BC48*$C$18-CJ48)/($C$17-$C$18*W48)</f>
        <v>103.37843763518744</v>
      </c>
      <c r="BE48" s="1">
        <f>(BD48*$C$18-CK48)/($C$17-$C$18*X48)</f>
        <v>99.48206324281368</v>
      </c>
      <c r="BF48" s="1">
        <f>(BE48*$C$18-CL48)/($C$17-$C$18*Y48)</f>
        <v>95.698975165357837</v>
      </c>
      <c r="BG48" s="1">
        <f>(BF48*$C$18-CM48)/($C$17-$C$18*Z48)</f>
        <v>92.024591493690835</v>
      </c>
      <c r="BH48" s="1">
        <f>(BG48*$C$18-CN48)/($C$17-$C$18*AA48)</f>
        <v>88.453056967473827</v>
      </c>
      <c r="BI48" s="1">
        <f>(BH48*$C$18-CO48)/($C$17-$C$18*AB48)</f>
        <v>84.977311811400156</v>
      </c>
      <c r="BJ48" s="1">
        <f>(BI48*$C$18-CP48)/($C$17-$C$18*AC48)</f>
        <v>81.589174632617542</v>
      </c>
      <c r="BK48" s="1">
        <f>(BJ48*$C$18-CQ48)/($C$17-$C$18*AD48)</f>
        <v>78.279438401448843</v>
      </c>
      <c r="BL48" s="1">
        <f>(BK48*$C$18-CR48)/($C$17-$C$18*AE48)</f>
        <v>75.037978387256231</v>
      </c>
      <c r="BM48" s="1">
        <f>(BL48*$C$18-CS48)/($C$17-$C$18*AF48)</f>
        <v>71.853870784380817</v>
      </c>
      <c r="BN48" s="1">
        <f>(BM48*$C$18-CT48)/($C$17-$C$18*AG48)</f>
        <v>68.715520640990164</v>
      </c>
      <c r="BO48" s="1">
        <f>(BN48*$C$18-CU48)/($C$17-$C$18*AH48)</f>
        <v>65.610797597661687</v>
      </c>
      <c r="BP48" s="1">
        <f>(BO48*$C$18-CV48)/($C$17-$C$18*AI48)</f>
        <v>62.527177853718776</v>
      </c>
      <c r="BQ48" s="2"/>
      <c r="BR48" s="2"/>
      <c r="BS48" s="1">
        <f>-$C$10*$C$9*G15/$C$7</f>
        <v>-1076400000</v>
      </c>
      <c r="BT48" s="1">
        <f>-$C$10*$C$9*H15/$C$7</f>
        <v>-1045109385.7533029</v>
      </c>
      <c r="BU48" s="1">
        <f>-$C$10*$C$9*I15/$C$7</f>
        <v>-1013895556.5475094</v>
      </c>
      <c r="BV48" s="1">
        <f>-$C$10*$C$9*J15/$C$7</f>
        <v>-982834395.24029708</v>
      </c>
      <c r="BW48" s="1">
        <f>-$C$10*$C$9*K15/$C$7</f>
        <v>-951999990.9912945</v>
      </c>
      <c r="BX48" s="1">
        <f>-$C$10*$C$9*L15/$C$7</f>
        <v>-921463768.95472717</v>
      </c>
      <c r="BY48" s="1">
        <f>-$C$10*$C$9*M15/$C$7</f>
        <v>-891293651.46163309</v>
      </c>
      <c r="BZ48" s="1">
        <f>-$C$10*$C$9*N15/$C$7</f>
        <v>-861553260.5925678</v>
      </c>
      <c r="CA48" s="1">
        <f>-$C$10*$C$9*O15/$C$7</f>
        <v>-832301171.54134226</v>
      </c>
      <c r="CB48" s="1">
        <f>-$C$10*$C$9*P15/$C$7</f>
        <v>-803590225.5573473</v>
      </c>
      <c r="CC48" s="1">
        <f>-$C$10*$C$9*Q15/$C$7</f>
        <v>-775466910.53640914</v>
      </c>
      <c r="CD48" s="1">
        <f>-$C$10*$C$9*R15/$C$7</f>
        <v>-747970816.51721442</v>
      </c>
      <c r="CE48" s="1">
        <f>-$C$10*$C$9*S15/$C$7</f>
        <v>-721134172.44258142</v>
      </c>
      <c r="CF48" s="1">
        <f>-$C$10*$C$9*T15/$C$7</f>
        <v>-694981469.57368267</v>
      </c>
      <c r="CG48" s="1">
        <f>-$C$10*$C$9*U15/$C$7</f>
        <v>-669529175.91300035</v>
      </c>
      <c r="CH48" s="1">
        <f>-$C$10*$C$9*V15/$C$7</f>
        <v>-644785544.91116476</v>
      </c>
      <c r="CI48" s="1">
        <f>-$C$10*$C$9*W15/$C$7</f>
        <v>-620750520.61722004</v>
      </c>
      <c r="CJ48" s="1">
        <f>-$C$10*$C$9*X15/$C$7</f>
        <v>-597415740.29483092</v>
      </c>
      <c r="CK48" s="1">
        <f>-$C$10*$C$9*Y15/$C$7</f>
        <v>-574764634.38209105</v>
      </c>
      <c r="CL48" s="1">
        <f>-$C$10*$C$9*Z15/$C$7</f>
        <v>-552772622.53349292</v>
      </c>
      <c r="CM48" s="1">
        <f>-$C$10*$C$9*AA15/$C$7</f>
        <v>-531407403.36245632</v>
      </c>
      <c r="CN48" s="1">
        <f>-$C$10*$C$9*AB15/$C$7</f>
        <v>-510629334.41449499</v>
      </c>
      <c r="CO48" s="1">
        <f>-$C$10*$C$9*AC15/$C$7</f>
        <v>-490391897.85685056</v>
      </c>
      <c r="CP48" s="1">
        <f>-$C$10*$C$9*AD15/$C$7</f>
        <v>-470642246.38188469</v>
      </c>
      <c r="CQ48" s="1">
        <f>-$C$10*$C$9*AE15/$C$7</f>
        <v>-451321822.89950126</v>
      </c>
      <c r="CR48" s="1">
        <f>-$C$10*$C$9*AF15/$C$7</f>
        <v>-432367046.74831128</v>
      </c>
      <c r="CS48" s="1">
        <f>-$C$10*$C$9*AG15/$C$7</f>
        <v>-413710058.39518172</v>
      </c>
      <c r="CT48" s="1">
        <f>-$C$10*$C$9*AH15/$C$7</f>
        <v>-395279513.92616963</v>
      </c>
      <c r="CU48" s="1">
        <f>-$C$10*$C$9*AI15/$C$7</f>
        <v>-377001420.06560153</v>
      </c>
      <c r="CV48" s="1">
        <f>-$C$10*$C$9*AJ15/$C$7</f>
        <v>-358800000</v>
      </c>
      <c r="CW48" s="2"/>
      <c r="CX48" s="2"/>
      <c r="CY48" s="1">
        <f>G15</f>
        <v>300</v>
      </c>
      <c r="CZ48" s="1">
        <f t="shared" si="3"/>
        <v>291.30187853019197</v>
      </c>
      <c r="DA48" s="1">
        <f t="shared" si="4"/>
        <v>282.62488987665506</v>
      </c>
      <c r="DB48" s="1">
        <f t="shared" si="5"/>
        <v>273.98991857563033</v>
      </c>
      <c r="DC48" s="1">
        <f t="shared" si="6"/>
        <v>265.4173555383353</v>
      </c>
      <c r="DD48" s="1">
        <f t="shared" si="7"/>
        <v>256.92685854049961</v>
      </c>
      <c r="DE48" s="1">
        <f t="shared" si="8"/>
        <v>248.53712137531278</v>
      </c>
      <c r="DF48" s="1">
        <f t="shared" si="9"/>
        <v>240.26565439391061</v>
      </c>
      <c r="DG48" s="1">
        <f t="shared" si="10"/>
        <v>232.12857902001079</v>
      </c>
      <c r="DH48" s="1">
        <f t="shared" si="11"/>
        <v>224.14043865682709</v>
      </c>
      <c r="DI48" s="1">
        <f t="shared" si="12"/>
        <v>216.31402820713885</v>
      </c>
      <c r="DJ48" s="1">
        <f t="shared" si="13"/>
        <v>208.66024420391824</v>
      </c>
      <c r="DK48" s="1">
        <f t="shared" si="14"/>
        <v>201.18795730208944</v>
      </c>
      <c r="DL48" s="1">
        <f t="shared" si="15"/>
        <v>193.9039086149418</v>
      </c>
      <c r="DM48" s="1">
        <f t="shared" si="16"/>
        <v>186.81263109481284</v>
      </c>
      <c r="DN48" s="1">
        <f t="shared" si="17"/>
        <v>179.91639686041731</v>
      </c>
      <c r="DO48" s="1">
        <f t="shared" si="18"/>
        <v>173.21519106628764</v>
      </c>
      <c r="DP48" s="1">
        <f t="shared" si="19"/>
        <v>166.70671259693182</v>
      </c>
      <c r="DQ48" s="1">
        <f t="shared" si="20"/>
        <v>160.38640155324944</v>
      </c>
      <c r="DR48" s="1">
        <f t="shared" si="21"/>
        <v>154.24749318520372</v>
      </c>
      <c r="DS48" s="1">
        <f t="shared" si="22"/>
        <v>148.28109761636648</v>
      </c>
      <c r="DT48" s="1">
        <f t="shared" si="23"/>
        <v>142.47630440628086</v>
      </c>
      <c r="DU48" s="1">
        <f t="shared" si="24"/>
        <v>136.82031070900112</v>
      </c>
      <c r="DV48" s="1">
        <f t="shared" si="25"/>
        <v>131.29857151387861</v>
      </c>
      <c r="DW48" s="1">
        <f t="shared" si="26"/>
        <v>125.89497020065437</v>
      </c>
      <c r="DX48" s="1">
        <f t="shared" si="27"/>
        <v>120.59200740794057</v>
      </c>
      <c r="DY48" s="1">
        <f t="shared" si="28"/>
        <v>115.37100600471635</v>
      </c>
      <c r="DZ48" s="1">
        <f t="shared" si="29"/>
        <v>110.21232977073697</v>
      </c>
      <c r="EA48" s="1">
        <f t="shared" si="30"/>
        <v>105.0956132356757</v>
      </c>
      <c r="EB48" s="1">
        <f>AJ15</f>
        <v>100</v>
      </c>
    </row>
    <row r="49" spans="4:132">
      <c r="D49" s="3"/>
      <c r="E49" s="3"/>
      <c r="F49" s="1">
        <v>16</v>
      </c>
      <c r="G49" s="1">
        <f>0</f>
        <v>0</v>
      </c>
      <c r="H49" s="1">
        <f>$C$16/($C$17-$C$18*G49)</f>
        <v>0.3415922014622258</v>
      </c>
      <c r="I49" s="1">
        <f>$C$16/($C$17-$C$18*H49)</f>
        <v>0.3867162803971414</v>
      </c>
      <c r="J49" s="1">
        <f>$C$16/($C$17-$C$18*I49)</f>
        <v>0.39358441341045353</v>
      </c>
      <c r="K49" s="1">
        <f>$C$16/($C$17-$C$18*J49)</f>
        <v>0.39465123071155611</v>
      </c>
      <c r="L49" s="1">
        <f>$C$16/($C$17-$C$18*K49)</f>
        <v>0.39481745705771337</v>
      </c>
      <c r="M49" s="1">
        <f>$C$16/($C$17-$C$18*L49)</f>
        <v>0.39484337025824801</v>
      </c>
      <c r="N49" s="1">
        <f>$C$16/($C$17-$C$18*M49)</f>
        <v>0.39484741020089792</v>
      </c>
      <c r="O49" s="1">
        <f>$C$16/($C$17-$C$18*N49)</f>
        <v>0.39484804004704999</v>
      </c>
      <c r="P49" s="1">
        <f>$C$16/($C$17-$C$18*O49)</f>
        <v>0.39484813824322279</v>
      </c>
      <c r="Q49" s="1">
        <f>$C$16/($C$17-$C$18*P49)</f>
        <v>0.39484815355250286</v>
      </c>
      <c r="R49" s="1">
        <f>$C$16/($C$17-$C$18*Q49)</f>
        <v>0.39484815593929717</v>
      </c>
      <c r="S49" s="1">
        <f>$C$16/($C$17-$C$18*R49)</f>
        <v>0.39484815631141046</v>
      </c>
      <c r="T49" s="1">
        <f>$C$16/($C$17-$C$18*S49)</f>
        <v>0.39484815636942483</v>
      </c>
      <c r="U49" s="1">
        <f>$C$16/($C$17-$C$18*T49)</f>
        <v>0.39484815637846954</v>
      </c>
      <c r="V49" s="1">
        <f>$C$16/($C$17-$C$18*U49)</f>
        <v>0.39484815637987963</v>
      </c>
      <c r="W49" s="1">
        <f>$C$16/($C$17-$C$18*V49)</f>
        <v>0.39484815638009951</v>
      </c>
      <c r="X49" s="1">
        <f>$C$16/($C$17-$C$18*W49)</f>
        <v>0.39484815638013382</v>
      </c>
      <c r="Y49" s="1">
        <f>$C$16/($C$17-$C$18*X49)</f>
        <v>0.39484815638013915</v>
      </c>
      <c r="Z49" s="1">
        <f>$C$16/($C$17-$C$18*Y49)</f>
        <v>0.39484815638013998</v>
      </c>
      <c r="AA49" s="1">
        <f>$C$16/($C$17-$C$18*Z49)</f>
        <v>0.39484815638014015</v>
      </c>
      <c r="AB49" s="1">
        <f>$C$16/($C$17-$C$18*AA49)</f>
        <v>0.39484815638014015</v>
      </c>
      <c r="AC49" s="1">
        <f>$C$16/($C$17-$C$18*AB49)</f>
        <v>0.39484815638014015</v>
      </c>
      <c r="AD49" s="1">
        <f>$C$16/($C$17-$C$18*AC49)</f>
        <v>0.39484815638014015</v>
      </c>
      <c r="AE49" s="1">
        <f>$C$16/($C$17-$C$18*AD49)</f>
        <v>0.39484815638014015</v>
      </c>
      <c r="AF49" s="1">
        <f>$C$16/($C$17-$C$18*AE49)</f>
        <v>0.39484815638014015</v>
      </c>
      <c r="AG49" s="1">
        <f>$C$16/($C$17-$C$18*AF49)</f>
        <v>0.39484815638014015</v>
      </c>
      <c r="AH49" s="1">
        <f>$C$16/($C$17-$C$18*AG49)</f>
        <v>0.39484815638014015</v>
      </c>
      <c r="AI49" s="1">
        <f>$C$16/($C$17-$C$18*AH49)</f>
        <v>0.39484815638014015</v>
      </c>
      <c r="AJ49" s="1">
        <f>$C$16/($C$17-$C$18*AI49)</f>
        <v>0.39484815638014015</v>
      </c>
      <c r="AK49" s="2"/>
      <c r="AL49" s="2"/>
      <c r="AM49" s="1">
        <f>G16</f>
        <v>300</v>
      </c>
      <c r="AN49" s="1">
        <f>(AM49*$C$18-BT49)/($C$17-$C$18*G49)</f>
        <v>194.75942020920633</v>
      </c>
      <c r="AO49" s="1">
        <f>(AN49*$C$18-BU49)/($C$17-$C$18*H49)</f>
        <v>176.66852769877164</v>
      </c>
      <c r="AP49" s="1">
        <f>(AO49*$C$18-BV49)/($C$17-$C$18*I49)</f>
        <v>169.52578438712084</v>
      </c>
      <c r="AQ49" s="1">
        <f>(AP49*$C$18-BW49)/($C$17-$C$18*J49)</f>
        <v>164.02085461247324</v>
      </c>
      <c r="AR49" s="1">
        <f>(AQ49*$C$18-BX49)/($C$17-$C$18*K49)</f>
        <v>158.80006429465439</v>
      </c>
      <c r="AS49" s="1">
        <f>(AR49*$C$18-BY49)/($C$17-$C$18*L49)</f>
        <v>153.66982063711771</v>
      </c>
      <c r="AT49" s="1">
        <f>(AS49*$C$18-BZ49)/($C$17-$C$18*M49)</f>
        <v>148.61028613424492</v>
      </c>
      <c r="AU49" s="1">
        <f>(AT49*$C$18-CA49)/($C$17-$C$18*N49)</f>
        <v>143.62716612107664</v>
      </c>
      <c r="AV49" s="1">
        <f>(AU49*$C$18-CB49)/($C$17-$C$18*O49)</f>
        <v>138.72924734334637</v>
      </c>
      <c r="AW49" s="1">
        <f>(AV49*$C$18-CC49)/($C$17-$C$18*P49)</f>
        <v>133.92491606340738</v>
      </c>
      <c r="AX49" s="1">
        <f>(AW49*$C$18-CD49)/($C$17-$C$18*Q49)</f>
        <v>129.22155026599424</v>
      </c>
      <c r="AY49" s="1">
        <f>(AX49*$C$18-CE49)/($C$17-$C$18*R49)</f>
        <v>124.62535648390347</v>
      </c>
      <c r="AZ49" s="1">
        <f>(AY49*$C$18-CF49)/($C$17-$C$18*S49)</f>
        <v>120.14128564063348</v>
      </c>
      <c r="BA49" s="1">
        <f>(AZ49*$C$18-CG49)/($C$17-$C$18*T49)</f>
        <v>115.77297349222003</v>
      </c>
      <c r="BB49" s="1">
        <f>(BA49*$C$18-CH49)/($C$17-$C$18*U49)</f>
        <v>111.52269801090505</v>
      </c>
      <c r="BC49" s="1">
        <f>(BB49*$C$18-CI49)/($C$17-$C$18*V49)</f>
        <v>107.39135294120203</v>
      </c>
      <c r="BD49" s="1">
        <f>(BC49*$C$18-CJ49)/($C$17-$C$18*W49)</f>
        <v>103.37843763518747</v>
      </c>
      <c r="BE49" s="1">
        <f>(BD49*$C$18-CK49)/($C$17-$C$18*X49)</f>
        <v>99.482063242813709</v>
      </c>
      <c r="BF49" s="1">
        <f>(BE49*$C$18-CL49)/($C$17-$C$18*Y49)</f>
        <v>95.698975165357865</v>
      </c>
      <c r="BG49" s="1">
        <f>(BF49*$C$18-CM49)/($C$17-$C$18*Z49)</f>
        <v>92.024591493690863</v>
      </c>
      <c r="BH49" s="1">
        <f>(BG49*$C$18-CN49)/($C$17-$C$18*AA49)</f>
        <v>88.453056967473856</v>
      </c>
      <c r="BI49" s="1">
        <f>(BH49*$C$18-CO49)/($C$17-$C$18*AB49)</f>
        <v>84.977311811400185</v>
      </c>
      <c r="BJ49" s="1">
        <f>(BI49*$C$18-CP49)/($C$17-$C$18*AC49)</f>
        <v>81.589174632617556</v>
      </c>
      <c r="BK49" s="1">
        <f>(BJ49*$C$18-CQ49)/($C$17-$C$18*AD49)</f>
        <v>78.279438401448843</v>
      </c>
      <c r="BL49" s="1">
        <f>(BK49*$C$18-CR49)/($C$17-$C$18*AE49)</f>
        <v>75.037978387256246</v>
      </c>
      <c r="BM49" s="1">
        <f>(BL49*$C$18-CS49)/($C$17-$C$18*AF49)</f>
        <v>71.853870784380831</v>
      </c>
      <c r="BN49" s="1">
        <f>(BM49*$C$18-CT49)/($C$17-$C$18*AG49)</f>
        <v>68.715520640990164</v>
      </c>
      <c r="BO49" s="1">
        <f>(BN49*$C$18-CU49)/($C$17-$C$18*AH49)</f>
        <v>65.610797597661687</v>
      </c>
      <c r="BP49" s="1">
        <f>(BO49*$C$18-CV49)/($C$17-$C$18*AI49)</f>
        <v>62.527177853718776</v>
      </c>
      <c r="BQ49" s="2"/>
      <c r="BR49" s="2"/>
      <c r="BS49" s="1">
        <f>-$C$10*$C$9*G16/$C$7</f>
        <v>-1076400000</v>
      </c>
      <c r="BT49" s="1">
        <f>-$C$10*$C$9*H16/$C$7</f>
        <v>-1045109385.7533032</v>
      </c>
      <c r="BU49" s="1">
        <f>-$C$10*$C$9*I16/$C$7</f>
        <v>-1013895556.5475094</v>
      </c>
      <c r="BV49" s="1">
        <f>-$C$10*$C$9*J16/$C$7</f>
        <v>-982834395.24029708</v>
      </c>
      <c r="BW49" s="1">
        <f>-$C$10*$C$9*K16/$C$7</f>
        <v>-951999990.9912945</v>
      </c>
      <c r="BX49" s="1">
        <f>-$C$10*$C$9*L16/$C$7</f>
        <v>-921463768.95472741</v>
      </c>
      <c r="BY49" s="1">
        <f>-$C$10*$C$9*M16/$C$7</f>
        <v>-891293651.46163332</v>
      </c>
      <c r="BZ49" s="1">
        <f>-$C$10*$C$9*N16/$C$7</f>
        <v>-861553260.59256792</v>
      </c>
      <c r="CA49" s="1">
        <f>-$C$10*$C$9*O16/$C$7</f>
        <v>-832301171.5413425</v>
      </c>
      <c r="CB49" s="1">
        <f>-$C$10*$C$9*P16/$C$7</f>
        <v>-803590225.55734742</v>
      </c>
      <c r="CC49" s="1">
        <f>-$C$10*$C$9*Q16/$C$7</f>
        <v>-775466910.53640938</v>
      </c>
      <c r="CD49" s="1">
        <f>-$C$10*$C$9*R16/$C$7</f>
        <v>-747970816.51721478</v>
      </c>
      <c r="CE49" s="1">
        <f>-$C$10*$C$9*S16/$C$7</f>
        <v>-721134172.44258153</v>
      </c>
      <c r="CF49" s="1">
        <f>-$C$10*$C$9*T16/$C$7</f>
        <v>-694981469.5736829</v>
      </c>
      <c r="CG49" s="1">
        <f>-$C$10*$C$9*U16/$C$7</f>
        <v>-669529175.91300058</v>
      </c>
      <c r="CH49" s="1">
        <f>-$C$10*$C$9*V16/$C$7</f>
        <v>-644785544.91116488</v>
      </c>
      <c r="CI49" s="1">
        <f>-$C$10*$C$9*W16/$C$7</f>
        <v>-620750520.61722028</v>
      </c>
      <c r="CJ49" s="1">
        <f>-$C$10*$C$9*X16/$C$7</f>
        <v>-597415740.29483116</v>
      </c>
      <c r="CK49" s="1">
        <f>-$C$10*$C$9*Y16/$C$7</f>
        <v>-574764634.38209128</v>
      </c>
      <c r="CL49" s="1">
        <f>-$C$10*$C$9*Z16/$C$7</f>
        <v>-552772622.53349304</v>
      </c>
      <c r="CM49" s="1">
        <f>-$C$10*$C$9*AA16/$C$7</f>
        <v>-531407403.36245638</v>
      </c>
      <c r="CN49" s="1">
        <f>-$C$10*$C$9*AB16/$C$7</f>
        <v>-510629334.41449511</v>
      </c>
      <c r="CO49" s="1">
        <f>-$C$10*$C$9*AC16/$C$7</f>
        <v>-490391897.85685062</v>
      </c>
      <c r="CP49" s="1">
        <f>-$C$10*$C$9*AD16/$C$7</f>
        <v>-470642246.38188481</v>
      </c>
      <c r="CQ49" s="1">
        <f>-$C$10*$C$9*AE16/$C$7</f>
        <v>-451321822.89950132</v>
      </c>
      <c r="CR49" s="1">
        <f>-$C$10*$C$9*AF16/$C$7</f>
        <v>-432367046.74831134</v>
      </c>
      <c r="CS49" s="1">
        <f>-$C$10*$C$9*AG16/$C$7</f>
        <v>-413710058.39518172</v>
      </c>
      <c r="CT49" s="1">
        <f>-$C$10*$C$9*AH16/$C$7</f>
        <v>-395279513.92616969</v>
      </c>
      <c r="CU49" s="1">
        <f>-$C$10*$C$9*AI16/$C$7</f>
        <v>-377001420.06560153</v>
      </c>
      <c r="CV49" s="1">
        <f>-$C$10*$C$9*AJ16/$C$7</f>
        <v>-358800000</v>
      </c>
      <c r="CW49" s="2"/>
      <c r="CX49" s="2"/>
      <c r="CY49" s="1">
        <f>G16</f>
        <v>300</v>
      </c>
      <c r="CZ49" s="1">
        <f t="shared" si="3"/>
        <v>291.30187853019208</v>
      </c>
      <c r="DA49" s="1">
        <f t="shared" si="4"/>
        <v>282.62488987665506</v>
      </c>
      <c r="DB49" s="1">
        <f t="shared" si="5"/>
        <v>273.98991857563033</v>
      </c>
      <c r="DC49" s="1">
        <f t="shared" si="6"/>
        <v>265.4173555383353</v>
      </c>
      <c r="DD49" s="1">
        <f t="shared" si="7"/>
        <v>256.92685854049967</v>
      </c>
      <c r="DE49" s="1">
        <f t="shared" si="8"/>
        <v>248.53712137531284</v>
      </c>
      <c r="DF49" s="1">
        <f t="shared" si="9"/>
        <v>240.26565439391069</v>
      </c>
      <c r="DG49" s="1">
        <f t="shared" si="10"/>
        <v>232.12857902001087</v>
      </c>
      <c r="DH49" s="1">
        <f t="shared" si="11"/>
        <v>224.14043865682714</v>
      </c>
      <c r="DI49" s="1">
        <f t="shared" si="12"/>
        <v>216.31402820713885</v>
      </c>
      <c r="DJ49" s="1">
        <f t="shared" si="13"/>
        <v>208.66024420391832</v>
      </c>
      <c r="DK49" s="1">
        <f t="shared" si="14"/>
        <v>201.18795730208947</v>
      </c>
      <c r="DL49" s="1">
        <f t="shared" si="15"/>
        <v>193.90390861494183</v>
      </c>
      <c r="DM49" s="1">
        <f t="shared" si="16"/>
        <v>186.8126310948129</v>
      </c>
      <c r="DN49" s="1">
        <f t="shared" si="17"/>
        <v>179.91639686041734</v>
      </c>
      <c r="DO49" s="1">
        <f t="shared" si="18"/>
        <v>173.21519106628767</v>
      </c>
      <c r="DP49" s="1">
        <f t="shared" si="19"/>
        <v>166.70671259693185</v>
      </c>
      <c r="DQ49" s="1">
        <f t="shared" si="20"/>
        <v>160.38640155324947</v>
      </c>
      <c r="DR49" s="1">
        <f t="shared" si="21"/>
        <v>154.24749318520375</v>
      </c>
      <c r="DS49" s="1">
        <f t="shared" si="22"/>
        <v>148.28109761636654</v>
      </c>
      <c r="DT49" s="1">
        <f t="shared" si="23"/>
        <v>142.47630440628092</v>
      </c>
      <c r="DU49" s="1">
        <f t="shared" si="24"/>
        <v>136.82031070900115</v>
      </c>
      <c r="DV49" s="1">
        <f t="shared" si="25"/>
        <v>131.29857151387861</v>
      </c>
      <c r="DW49" s="1">
        <f t="shared" si="26"/>
        <v>125.89497020065437</v>
      </c>
      <c r="DX49" s="1">
        <f t="shared" si="27"/>
        <v>120.59200740794057</v>
      </c>
      <c r="DY49" s="1">
        <f t="shared" si="28"/>
        <v>115.37100600471635</v>
      </c>
      <c r="DZ49" s="1">
        <f t="shared" si="29"/>
        <v>110.21232977073697</v>
      </c>
      <c r="EA49" s="1">
        <f t="shared" si="30"/>
        <v>105.0956132356757</v>
      </c>
      <c r="EB49" s="1">
        <f>AJ16</f>
        <v>100</v>
      </c>
    </row>
    <row r="50" spans="4:132">
      <c r="D50" s="3"/>
      <c r="E50" s="3"/>
      <c r="F50" s="1">
        <v>15</v>
      </c>
      <c r="G50" s="1">
        <f>0</f>
        <v>0</v>
      </c>
      <c r="H50" s="1">
        <f>$C$16/($C$17-$C$18*G50)</f>
        <v>0.3415922014622258</v>
      </c>
      <c r="I50" s="1">
        <f>$C$16/($C$17-$C$18*H50)</f>
        <v>0.3867162803971414</v>
      </c>
      <c r="J50" s="1">
        <f>$C$16/($C$17-$C$18*I50)</f>
        <v>0.39358441341045353</v>
      </c>
      <c r="K50" s="1">
        <f>$C$16/($C$17-$C$18*J50)</f>
        <v>0.39465123071155611</v>
      </c>
      <c r="L50" s="1">
        <f>$C$16/($C$17-$C$18*K50)</f>
        <v>0.39481745705771337</v>
      </c>
      <c r="M50" s="1">
        <f>$C$16/($C$17-$C$18*L50)</f>
        <v>0.39484337025824801</v>
      </c>
      <c r="N50" s="1">
        <f>$C$16/($C$17-$C$18*M50)</f>
        <v>0.39484741020089792</v>
      </c>
      <c r="O50" s="1">
        <f>$C$16/($C$17-$C$18*N50)</f>
        <v>0.39484804004704999</v>
      </c>
      <c r="P50" s="1">
        <f>$C$16/($C$17-$C$18*O50)</f>
        <v>0.39484813824322279</v>
      </c>
      <c r="Q50" s="1">
        <f>$C$16/($C$17-$C$18*P50)</f>
        <v>0.39484815355250286</v>
      </c>
      <c r="R50" s="1">
        <f>$C$16/($C$17-$C$18*Q50)</f>
        <v>0.39484815593929717</v>
      </c>
      <c r="S50" s="1">
        <f>$C$16/($C$17-$C$18*R50)</f>
        <v>0.39484815631141046</v>
      </c>
      <c r="T50" s="1">
        <f>$C$16/($C$17-$C$18*S50)</f>
        <v>0.39484815636942483</v>
      </c>
      <c r="U50" s="1">
        <f>$C$16/($C$17-$C$18*T50)</f>
        <v>0.39484815637846954</v>
      </c>
      <c r="V50" s="1">
        <f>$C$16/($C$17-$C$18*U50)</f>
        <v>0.39484815637987963</v>
      </c>
      <c r="W50" s="1">
        <f>$C$16/($C$17-$C$18*V50)</f>
        <v>0.39484815638009951</v>
      </c>
      <c r="X50" s="1">
        <f>$C$16/($C$17-$C$18*W50)</f>
        <v>0.39484815638013382</v>
      </c>
      <c r="Y50" s="1">
        <f>$C$16/($C$17-$C$18*X50)</f>
        <v>0.39484815638013915</v>
      </c>
      <c r="Z50" s="1">
        <f>$C$16/($C$17-$C$18*Y50)</f>
        <v>0.39484815638013998</v>
      </c>
      <c r="AA50" s="1">
        <f>$C$16/($C$17-$C$18*Z50)</f>
        <v>0.39484815638014015</v>
      </c>
      <c r="AB50" s="1">
        <f>$C$16/($C$17-$C$18*AA50)</f>
        <v>0.39484815638014015</v>
      </c>
      <c r="AC50" s="1">
        <f>$C$16/($C$17-$C$18*AB50)</f>
        <v>0.39484815638014015</v>
      </c>
      <c r="AD50" s="1">
        <f>$C$16/($C$17-$C$18*AC50)</f>
        <v>0.39484815638014015</v>
      </c>
      <c r="AE50" s="1">
        <f>$C$16/($C$17-$C$18*AD50)</f>
        <v>0.39484815638014015</v>
      </c>
      <c r="AF50" s="1">
        <f>$C$16/($C$17-$C$18*AE50)</f>
        <v>0.39484815638014015</v>
      </c>
      <c r="AG50" s="1">
        <f>$C$16/($C$17-$C$18*AF50)</f>
        <v>0.39484815638014015</v>
      </c>
      <c r="AH50" s="1">
        <f>$C$16/($C$17-$C$18*AG50)</f>
        <v>0.39484815638014015</v>
      </c>
      <c r="AI50" s="1">
        <f>$C$16/($C$17-$C$18*AH50)</f>
        <v>0.39484815638014015</v>
      </c>
      <c r="AJ50" s="1">
        <f>$C$16/($C$17-$C$18*AI50)</f>
        <v>0.39484815638014015</v>
      </c>
      <c r="AK50" s="2"/>
      <c r="AL50" s="2"/>
      <c r="AM50" s="1">
        <f>G17</f>
        <v>300</v>
      </c>
      <c r="AN50" s="1">
        <f>(AM50*$C$18-BT50)/($C$17-$C$18*G50)</f>
        <v>194.75942020920633</v>
      </c>
      <c r="AO50" s="1">
        <f>(AN50*$C$18-BU50)/($C$17-$C$18*H50)</f>
        <v>176.66852769877164</v>
      </c>
      <c r="AP50" s="1">
        <f>(AO50*$C$18-BV50)/($C$17-$C$18*I50)</f>
        <v>169.52578438712084</v>
      </c>
      <c r="AQ50" s="1">
        <f>(AP50*$C$18-BW50)/($C$17-$C$18*J50)</f>
        <v>164.02085461247324</v>
      </c>
      <c r="AR50" s="1">
        <f>(AQ50*$C$18-BX50)/($C$17-$C$18*K50)</f>
        <v>158.80006429465442</v>
      </c>
      <c r="AS50" s="1">
        <f>(AR50*$C$18-BY50)/($C$17-$C$18*L50)</f>
        <v>153.66982063711771</v>
      </c>
      <c r="AT50" s="1">
        <f>(AS50*$C$18-BZ50)/($C$17-$C$18*M50)</f>
        <v>148.61028613424492</v>
      </c>
      <c r="AU50" s="1">
        <f>(AT50*$C$18-CA50)/($C$17-$C$18*N50)</f>
        <v>143.62716612107664</v>
      </c>
      <c r="AV50" s="1">
        <f>(AU50*$C$18-CB50)/($C$17-$C$18*O50)</f>
        <v>138.7292473433464</v>
      </c>
      <c r="AW50" s="1">
        <f>(AV50*$C$18-CC50)/($C$17-$C$18*P50)</f>
        <v>133.92491606340741</v>
      </c>
      <c r="AX50" s="1">
        <f>(AW50*$C$18-CD50)/($C$17-$C$18*Q50)</f>
        <v>129.22155026599424</v>
      </c>
      <c r="AY50" s="1">
        <f>(AX50*$C$18-CE50)/($C$17-$C$18*R50)</f>
        <v>124.6253564839035</v>
      </c>
      <c r="AZ50" s="1">
        <f>(AY50*$C$18-CF50)/($C$17-$C$18*S50)</f>
        <v>120.14128564063351</v>
      </c>
      <c r="BA50" s="1">
        <f>(AZ50*$C$18-CG50)/($C$17-$C$18*T50)</f>
        <v>115.77297349222006</v>
      </c>
      <c r="BB50" s="1">
        <f>(BA50*$C$18-CH50)/($C$17-$C$18*U50)</f>
        <v>111.52269801090505</v>
      </c>
      <c r="BC50" s="1">
        <f>(BB50*$C$18-CI50)/($C$17-$C$18*V50)</f>
        <v>107.39135294120206</v>
      </c>
      <c r="BD50" s="1">
        <f>(BC50*$C$18-CJ50)/($C$17-$C$18*W50)</f>
        <v>103.37843763518748</v>
      </c>
      <c r="BE50" s="1">
        <f>(BD50*$C$18-CK50)/($C$17-$C$18*X50)</f>
        <v>99.482063242813723</v>
      </c>
      <c r="BF50" s="1">
        <f>(BE50*$C$18-CL50)/($C$17-$C$18*Y50)</f>
        <v>95.698975165357879</v>
      </c>
      <c r="BG50" s="1">
        <f>(BF50*$C$18-CM50)/($C$17-$C$18*Z50)</f>
        <v>92.024591493690878</v>
      </c>
      <c r="BH50" s="1">
        <f>(BG50*$C$18-CN50)/($C$17-$C$18*AA50)</f>
        <v>88.453056967473856</v>
      </c>
      <c r="BI50" s="1">
        <f>(BH50*$C$18-CO50)/($C$17-$C$18*AB50)</f>
        <v>84.977311811400185</v>
      </c>
      <c r="BJ50" s="1">
        <f>(BI50*$C$18-CP50)/($C$17-$C$18*AC50)</f>
        <v>81.589174632617556</v>
      </c>
      <c r="BK50" s="1">
        <f>(BJ50*$C$18-CQ50)/($C$17-$C$18*AD50)</f>
        <v>78.279438401448843</v>
      </c>
      <c r="BL50" s="1">
        <f>(BK50*$C$18-CR50)/($C$17-$C$18*AE50)</f>
        <v>75.037978387256246</v>
      </c>
      <c r="BM50" s="1">
        <f>(BL50*$C$18-CS50)/($C$17-$C$18*AF50)</f>
        <v>71.853870784380831</v>
      </c>
      <c r="BN50" s="1">
        <f>(BM50*$C$18-CT50)/($C$17-$C$18*AG50)</f>
        <v>68.715520640990164</v>
      </c>
      <c r="BO50" s="1">
        <f>(BN50*$C$18-CU50)/($C$17-$C$18*AH50)</f>
        <v>65.610797597661687</v>
      </c>
      <c r="BP50" s="1">
        <f>(BO50*$C$18-CV50)/($C$17-$C$18*AI50)</f>
        <v>62.527177853718776</v>
      </c>
      <c r="BQ50" s="2"/>
      <c r="BR50" s="2"/>
      <c r="BS50" s="1">
        <f>-$C$10*$C$9*G17/$C$7</f>
        <v>-1076400000</v>
      </c>
      <c r="BT50" s="1">
        <f>-$C$10*$C$9*H17/$C$7</f>
        <v>-1045109385.7533032</v>
      </c>
      <c r="BU50" s="1">
        <f>-$C$10*$C$9*I17/$C$7</f>
        <v>-1013895556.5475094</v>
      </c>
      <c r="BV50" s="1">
        <f>-$C$10*$C$9*J17/$C$7</f>
        <v>-982834395.24029708</v>
      </c>
      <c r="BW50" s="1">
        <f>-$C$10*$C$9*K17/$C$7</f>
        <v>-951999990.9912945</v>
      </c>
      <c r="BX50" s="1">
        <f>-$C$10*$C$9*L17/$C$7</f>
        <v>-921463768.95472765</v>
      </c>
      <c r="BY50" s="1">
        <f>-$C$10*$C$9*M17/$C$7</f>
        <v>-891293651.46163332</v>
      </c>
      <c r="BZ50" s="1">
        <f>-$C$10*$C$9*N17/$C$7</f>
        <v>-861553260.59256804</v>
      </c>
      <c r="CA50" s="1">
        <f>-$C$10*$C$9*O17/$C$7</f>
        <v>-832301171.5413425</v>
      </c>
      <c r="CB50" s="1">
        <f>-$C$10*$C$9*P17/$C$7</f>
        <v>-803590225.55734766</v>
      </c>
      <c r="CC50" s="1">
        <f>-$C$10*$C$9*Q17/$C$7</f>
        <v>-775466910.53640938</v>
      </c>
      <c r="CD50" s="1">
        <f>-$C$10*$C$9*R17/$C$7</f>
        <v>-747970816.51721489</v>
      </c>
      <c r="CE50" s="1">
        <f>-$C$10*$C$9*S17/$C$7</f>
        <v>-721134172.44258165</v>
      </c>
      <c r="CF50" s="1">
        <f>-$C$10*$C$9*T17/$C$7</f>
        <v>-694981469.5736829</v>
      </c>
      <c r="CG50" s="1">
        <f>-$C$10*$C$9*U17/$C$7</f>
        <v>-669529175.91300058</v>
      </c>
      <c r="CH50" s="1">
        <f>-$C$10*$C$9*V17/$C$7</f>
        <v>-644785544.91116488</v>
      </c>
      <c r="CI50" s="1">
        <f>-$C$10*$C$9*W17/$C$7</f>
        <v>-620750520.61722052</v>
      </c>
      <c r="CJ50" s="1">
        <f>-$C$10*$C$9*X17/$C$7</f>
        <v>-597415740.29483116</v>
      </c>
      <c r="CK50" s="1">
        <f>-$C$10*$C$9*Y17/$C$7</f>
        <v>-574764634.3820914</v>
      </c>
      <c r="CL50" s="1">
        <f>-$C$10*$C$9*Z17/$C$7</f>
        <v>-552772622.53349316</v>
      </c>
      <c r="CM50" s="1">
        <f>-$C$10*$C$9*AA17/$C$7</f>
        <v>-531407403.3624565</v>
      </c>
      <c r="CN50" s="1">
        <f>-$C$10*$C$9*AB17/$C$7</f>
        <v>-510629334.41449511</v>
      </c>
      <c r="CO50" s="1">
        <f>-$C$10*$C$9*AC17/$C$7</f>
        <v>-490391897.85685074</v>
      </c>
      <c r="CP50" s="1">
        <f>-$C$10*$C$9*AD17/$C$7</f>
        <v>-470642246.38188481</v>
      </c>
      <c r="CQ50" s="1">
        <f>-$C$10*$C$9*AE17/$C$7</f>
        <v>-451321822.89950132</v>
      </c>
      <c r="CR50" s="1">
        <f>-$C$10*$C$9*AF17/$C$7</f>
        <v>-432367046.74831134</v>
      </c>
      <c r="CS50" s="1">
        <f>-$C$10*$C$9*AG17/$C$7</f>
        <v>-413710058.39518183</v>
      </c>
      <c r="CT50" s="1">
        <f>-$C$10*$C$9*AH17/$C$7</f>
        <v>-395279513.92616969</v>
      </c>
      <c r="CU50" s="1">
        <f>-$C$10*$C$9*AI17/$C$7</f>
        <v>-377001420.06560153</v>
      </c>
      <c r="CV50" s="1">
        <f>-$C$10*$C$9*AJ17/$C$7</f>
        <v>-358800000</v>
      </c>
      <c r="CW50" s="2"/>
      <c r="CX50" s="2"/>
      <c r="CY50" s="1">
        <f>G17</f>
        <v>300</v>
      </c>
      <c r="CZ50" s="1">
        <f t="shared" si="3"/>
        <v>291.30187853019208</v>
      </c>
      <c r="DA50" s="1">
        <f t="shared" si="4"/>
        <v>282.62488987665506</v>
      </c>
      <c r="DB50" s="1">
        <f t="shared" si="5"/>
        <v>273.98991857563033</v>
      </c>
      <c r="DC50" s="1">
        <f t="shared" si="6"/>
        <v>265.4173555383353</v>
      </c>
      <c r="DD50" s="1">
        <f t="shared" si="7"/>
        <v>256.92685854049967</v>
      </c>
      <c r="DE50" s="1">
        <f t="shared" si="8"/>
        <v>248.53712137531284</v>
      </c>
      <c r="DF50" s="1">
        <f t="shared" si="9"/>
        <v>240.26565439391069</v>
      </c>
      <c r="DG50" s="1">
        <f t="shared" si="10"/>
        <v>232.12857902001087</v>
      </c>
      <c r="DH50" s="1">
        <f t="shared" si="11"/>
        <v>224.14043865682717</v>
      </c>
      <c r="DI50" s="1">
        <f t="shared" si="12"/>
        <v>216.3140282071389</v>
      </c>
      <c r="DJ50" s="1">
        <f t="shared" si="13"/>
        <v>208.66024420391835</v>
      </c>
      <c r="DK50" s="1">
        <f t="shared" si="14"/>
        <v>201.18795730208953</v>
      </c>
      <c r="DL50" s="1">
        <f t="shared" si="15"/>
        <v>193.90390861494188</v>
      </c>
      <c r="DM50" s="1">
        <f t="shared" si="16"/>
        <v>186.81263109481293</v>
      </c>
      <c r="DN50" s="1">
        <f t="shared" si="17"/>
        <v>179.91639686041736</v>
      </c>
      <c r="DO50" s="1">
        <f t="shared" si="18"/>
        <v>173.21519106628773</v>
      </c>
      <c r="DP50" s="1">
        <f t="shared" si="19"/>
        <v>166.70671259693188</v>
      </c>
      <c r="DQ50" s="1">
        <f t="shared" si="20"/>
        <v>160.38640155324953</v>
      </c>
      <c r="DR50" s="1">
        <f t="shared" si="21"/>
        <v>154.24749318520378</v>
      </c>
      <c r="DS50" s="1">
        <f t="shared" si="22"/>
        <v>148.28109761636654</v>
      </c>
      <c r="DT50" s="1">
        <f t="shared" si="23"/>
        <v>142.47630440628092</v>
      </c>
      <c r="DU50" s="1">
        <f t="shared" si="24"/>
        <v>136.82031070900115</v>
      </c>
      <c r="DV50" s="1">
        <f t="shared" si="25"/>
        <v>131.29857151387861</v>
      </c>
      <c r="DW50" s="1">
        <f t="shared" si="26"/>
        <v>125.89497020065437</v>
      </c>
      <c r="DX50" s="1">
        <f t="shared" si="27"/>
        <v>120.59200740794057</v>
      </c>
      <c r="DY50" s="1">
        <f t="shared" si="28"/>
        <v>115.37100600471635</v>
      </c>
      <c r="DZ50" s="1">
        <f t="shared" si="29"/>
        <v>110.21232977073697</v>
      </c>
      <c r="EA50" s="1">
        <f t="shared" si="30"/>
        <v>105.0956132356757</v>
      </c>
      <c r="EB50" s="1">
        <f>AJ17</f>
        <v>100</v>
      </c>
    </row>
    <row r="51" spans="4:132">
      <c r="D51" s="3"/>
      <c r="E51" s="3"/>
      <c r="F51" s="1">
        <v>14</v>
      </c>
      <c r="G51" s="1">
        <f>0</f>
        <v>0</v>
      </c>
      <c r="H51" s="1">
        <f>$C$16/($C$17-$C$18*G51)</f>
        <v>0.3415922014622258</v>
      </c>
      <c r="I51" s="1">
        <f>$C$16/($C$17-$C$18*H51)</f>
        <v>0.3867162803971414</v>
      </c>
      <c r="J51" s="1">
        <f>$C$16/($C$17-$C$18*I51)</f>
        <v>0.39358441341045353</v>
      </c>
      <c r="K51" s="1">
        <f>$C$16/($C$17-$C$18*J51)</f>
        <v>0.39465123071155611</v>
      </c>
      <c r="L51" s="1">
        <f>$C$16/($C$17-$C$18*K51)</f>
        <v>0.39481745705771337</v>
      </c>
      <c r="M51" s="1">
        <f>$C$16/($C$17-$C$18*L51)</f>
        <v>0.39484337025824801</v>
      </c>
      <c r="N51" s="1">
        <f>$C$16/($C$17-$C$18*M51)</f>
        <v>0.39484741020089792</v>
      </c>
      <c r="O51" s="1">
        <f>$C$16/($C$17-$C$18*N51)</f>
        <v>0.39484804004704999</v>
      </c>
      <c r="P51" s="1">
        <f>$C$16/($C$17-$C$18*O51)</f>
        <v>0.39484813824322279</v>
      </c>
      <c r="Q51" s="1">
        <f>$C$16/($C$17-$C$18*P51)</f>
        <v>0.39484815355250286</v>
      </c>
      <c r="R51" s="1">
        <f>$C$16/($C$17-$C$18*Q51)</f>
        <v>0.39484815593929717</v>
      </c>
      <c r="S51" s="1">
        <f>$C$16/($C$17-$C$18*R51)</f>
        <v>0.39484815631141046</v>
      </c>
      <c r="T51" s="1">
        <f>$C$16/($C$17-$C$18*S51)</f>
        <v>0.39484815636942483</v>
      </c>
      <c r="U51" s="1">
        <f>$C$16/($C$17-$C$18*T51)</f>
        <v>0.39484815637846954</v>
      </c>
      <c r="V51" s="1">
        <f>$C$16/($C$17-$C$18*U51)</f>
        <v>0.39484815637987963</v>
      </c>
      <c r="W51" s="1">
        <f>$C$16/($C$17-$C$18*V51)</f>
        <v>0.39484815638009951</v>
      </c>
      <c r="X51" s="1">
        <f>$C$16/($C$17-$C$18*W51)</f>
        <v>0.39484815638013382</v>
      </c>
      <c r="Y51" s="1">
        <f>$C$16/($C$17-$C$18*X51)</f>
        <v>0.39484815638013915</v>
      </c>
      <c r="Z51" s="1">
        <f>$C$16/($C$17-$C$18*Y51)</f>
        <v>0.39484815638013998</v>
      </c>
      <c r="AA51" s="1">
        <f>$C$16/($C$17-$C$18*Z51)</f>
        <v>0.39484815638014015</v>
      </c>
      <c r="AB51" s="1">
        <f>$C$16/($C$17-$C$18*AA51)</f>
        <v>0.39484815638014015</v>
      </c>
      <c r="AC51" s="1">
        <f>$C$16/($C$17-$C$18*AB51)</f>
        <v>0.39484815638014015</v>
      </c>
      <c r="AD51" s="1">
        <f>$C$16/($C$17-$C$18*AC51)</f>
        <v>0.39484815638014015</v>
      </c>
      <c r="AE51" s="1">
        <f>$C$16/($C$17-$C$18*AD51)</f>
        <v>0.39484815638014015</v>
      </c>
      <c r="AF51" s="1">
        <f>$C$16/($C$17-$C$18*AE51)</f>
        <v>0.39484815638014015</v>
      </c>
      <c r="AG51" s="1">
        <f>$C$16/($C$17-$C$18*AF51)</f>
        <v>0.39484815638014015</v>
      </c>
      <c r="AH51" s="1">
        <f>$C$16/($C$17-$C$18*AG51)</f>
        <v>0.39484815638014015</v>
      </c>
      <c r="AI51" s="1">
        <f>$C$16/($C$17-$C$18*AH51)</f>
        <v>0.39484815638014015</v>
      </c>
      <c r="AJ51" s="1">
        <f>$C$16/($C$17-$C$18*AI51)</f>
        <v>0.39484815638014015</v>
      </c>
      <c r="AK51" s="2"/>
      <c r="AL51" s="2"/>
      <c r="AM51" s="1">
        <f>G18</f>
        <v>300</v>
      </c>
      <c r="AN51" s="1">
        <f>(AM51*$C$18-BT51)/($C$17-$C$18*G51)</f>
        <v>194.75942020920627</v>
      </c>
      <c r="AO51" s="1">
        <f>(AN51*$C$18-BU51)/($C$17-$C$18*H51)</f>
        <v>176.66852769877164</v>
      </c>
      <c r="AP51" s="1">
        <f>(AO51*$C$18-BV51)/($C$17-$C$18*I51)</f>
        <v>169.52578438712084</v>
      </c>
      <c r="AQ51" s="1">
        <f>(AP51*$C$18-BW51)/($C$17-$C$18*J51)</f>
        <v>164.02085461247324</v>
      </c>
      <c r="AR51" s="1">
        <f>(AQ51*$C$18-BX51)/($C$17-$C$18*K51)</f>
        <v>158.80006429465439</v>
      </c>
      <c r="AS51" s="1">
        <f>(AR51*$C$18-BY51)/($C$17-$C$18*L51)</f>
        <v>153.66982063711771</v>
      </c>
      <c r="AT51" s="1">
        <f>(AS51*$C$18-BZ51)/($C$17-$C$18*M51)</f>
        <v>148.61028613424492</v>
      </c>
      <c r="AU51" s="1">
        <f>(AT51*$C$18-CA51)/($C$17-$C$18*N51)</f>
        <v>143.62716612107664</v>
      </c>
      <c r="AV51" s="1">
        <f>(AU51*$C$18-CB51)/($C$17-$C$18*O51)</f>
        <v>138.72924734334637</v>
      </c>
      <c r="AW51" s="1">
        <f>(AV51*$C$18-CC51)/($C$17-$C$18*P51)</f>
        <v>133.92491606340738</v>
      </c>
      <c r="AX51" s="1">
        <f>(AW51*$C$18-CD51)/($C$17-$C$18*Q51)</f>
        <v>129.22155026599424</v>
      </c>
      <c r="AY51" s="1">
        <f>(AX51*$C$18-CE51)/($C$17-$C$18*R51)</f>
        <v>124.6253564839035</v>
      </c>
      <c r="AZ51" s="1">
        <f>(AY51*$C$18-CF51)/($C$17-$C$18*S51)</f>
        <v>120.14128564063351</v>
      </c>
      <c r="BA51" s="1">
        <f>(AZ51*$C$18-CG51)/($C$17-$C$18*T51)</f>
        <v>115.77297349222006</v>
      </c>
      <c r="BB51" s="1">
        <f>(BA51*$C$18-CH51)/($C$17-$C$18*U51)</f>
        <v>111.52269801090505</v>
      </c>
      <c r="BC51" s="1">
        <f>(BB51*$C$18-CI51)/($C$17-$C$18*V51)</f>
        <v>107.39135294120206</v>
      </c>
      <c r="BD51" s="1">
        <f>(BC51*$C$18-CJ51)/($C$17-$C$18*W51)</f>
        <v>103.37843763518748</v>
      </c>
      <c r="BE51" s="1">
        <f>(BD51*$C$18-CK51)/($C$17-$C$18*X51)</f>
        <v>99.482063242813709</v>
      </c>
      <c r="BF51" s="1">
        <f>(BE51*$C$18-CL51)/($C$17-$C$18*Y51)</f>
        <v>95.698975165357865</v>
      </c>
      <c r="BG51" s="1">
        <f>(BF51*$C$18-CM51)/($C$17-$C$18*Z51)</f>
        <v>92.024591493690863</v>
      </c>
      <c r="BH51" s="1">
        <f>(BG51*$C$18-CN51)/($C$17-$C$18*AA51)</f>
        <v>88.453056967473856</v>
      </c>
      <c r="BI51" s="1">
        <f>(BH51*$C$18-CO51)/($C$17-$C$18*AB51)</f>
        <v>84.977311811400185</v>
      </c>
      <c r="BJ51" s="1">
        <f>(BI51*$C$18-CP51)/($C$17-$C$18*AC51)</f>
        <v>81.589174632617556</v>
      </c>
      <c r="BK51" s="1">
        <f>(BJ51*$C$18-CQ51)/($C$17-$C$18*AD51)</f>
        <v>78.279438401448843</v>
      </c>
      <c r="BL51" s="1">
        <f>(BK51*$C$18-CR51)/($C$17-$C$18*AE51)</f>
        <v>75.037978387256246</v>
      </c>
      <c r="BM51" s="1">
        <f>(BL51*$C$18-CS51)/($C$17-$C$18*AF51)</f>
        <v>71.853870784380831</v>
      </c>
      <c r="BN51" s="1">
        <f>(BM51*$C$18-CT51)/($C$17-$C$18*AG51)</f>
        <v>68.715520640990164</v>
      </c>
      <c r="BO51" s="1">
        <f>(BN51*$C$18-CU51)/($C$17-$C$18*AH51)</f>
        <v>65.610797597661687</v>
      </c>
      <c r="BP51" s="1">
        <f>(BO51*$C$18-CV51)/($C$17-$C$18*AI51)</f>
        <v>62.527177853718776</v>
      </c>
      <c r="BQ51" s="2"/>
      <c r="BR51" s="2"/>
      <c r="BS51" s="1">
        <f>-$C$10*$C$9*G18/$C$7</f>
        <v>-1076400000</v>
      </c>
      <c r="BT51" s="1">
        <f>-$C$10*$C$9*H18/$C$7</f>
        <v>-1045109385.7533029</v>
      </c>
      <c r="BU51" s="1">
        <f>-$C$10*$C$9*I18/$C$7</f>
        <v>-1013895556.5475094</v>
      </c>
      <c r="BV51" s="1">
        <f>-$C$10*$C$9*J18/$C$7</f>
        <v>-982834395.24029708</v>
      </c>
      <c r="BW51" s="1">
        <f>-$C$10*$C$9*K18/$C$7</f>
        <v>-951999990.9912945</v>
      </c>
      <c r="BX51" s="1">
        <f>-$C$10*$C$9*L18/$C$7</f>
        <v>-921463768.95472741</v>
      </c>
      <c r="BY51" s="1">
        <f>-$C$10*$C$9*M18/$C$7</f>
        <v>-891293651.46163332</v>
      </c>
      <c r="BZ51" s="1">
        <f>-$C$10*$C$9*N18/$C$7</f>
        <v>-861553260.59256804</v>
      </c>
      <c r="CA51" s="1">
        <f>-$C$10*$C$9*O18/$C$7</f>
        <v>-832301171.5413425</v>
      </c>
      <c r="CB51" s="1">
        <f>-$C$10*$C$9*P18/$C$7</f>
        <v>-803590225.55734754</v>
      </c>
      <c r="CC51" s="1">
        <f>-$C$10*$C$9*Q18/$C$7</f>
        <v>-775466910.53640938</v>
      </c>
      <c r="CD51" s="1">
        <f>-$C$10*$C$9*R18/$C$7</f>
        <v>-747970816.51721489</v>
      </c>
      <c r="CE51" s="1">
        <f>-$C$10*$C$9*S18/$C$7</f>
        <v>-721134172.44258165</v>
      </c>
      <c r="CF51" s="1">
        <f>-$C$10*$C$9*T18/$C$7</f>
        <v>-694981469.5736829</v>
      </c>
      <c r="CG51" s="1">
        <f>-$C$10*$C$9*U18/$C$7</f>
        <v>-669529175.91300058</v>
      </c>
      <c r="CH51" s="1">
        <f>-$C$10*$C$9*V18/$C$7</f>
        <v>-644785544.91116488</v>
      </c>
      <c r="CI51" s="1">
        <f>-$C$10*$C$9*W18/$C$7</f>
        <v>-620750520.61722052</v>
      </c>
      <c r="CJ51" s="1">
        <f>-$C$10*$C$9*X18/$C$7</f>
        <v>-597415740.29483116</v>
      </c>
      <c r="CK51" s="1">
        <f>-$C$10*$C$9*Y18/$C$7</f>
        <v>-574764634.38209128</v>
      </c>
      <c r="CL51" s="1">
        <f>-$C$10*$C$9*Z18/$C$7</f>
        <v>-552772622.53349316</v>
      </c>
      <c r="CM51" s="1">
        <f>-$C$10*$C$9*AA18/$C$7</f>
        <v>-531407403.3624565</v>
      </c>
      <c r="CN51" s="1">
        <f>-$C$10*$C$9*AB18/$C$7</f>
        <v>-510629334.41449523</v>
      </c>
      <c r="CO51" s="1">
        <f>-$C$10*$C$9*AC18/$C$7</f>
        <v>-490391897.85685062</v>
      </c>
      <c r="CP51" s="1">
        <f>-$C$10*$C$9*AD18/$C$7</f>
        <v>-470642246.38188481</v>
      </c>
      <c r="CQ51" s="1">
        <f>-$C$10*$C$9*AE18/$C$7</f>
        <v>-451321822.89950132</v>
      </c>
      <c r="CR51" s="1">
        <f>-$C$10*$C$9*AF18/$C$7</f>
        <v>-432367046.74831134</v>
      </c>
      <c r="CS51" s="1">
        <f>-$C$10*$C$9*AG18/$C$7</f>
        <v>-413710058.39518183</v>
      </c>
      <c r="CT51" s="1">
        <f>-$C$10*$C$9*AH18/$C$7</f>
        <v>-395279513.92616969</v>
      </c>
      <c r="CU51" s="1">
        <f>-$C$10*$C$9*AI18/$C$7</f>
        <v>-377001420.06560153</v>
      </c>
      <c r="CV51" s="1">
        <f>-$C$10*$C$9*AJ18/$C$7</f>
        <v>-358800000</v>
      </c>
      <c r="CW51" s="2"/>
      <c r="CX51" s="2"/>
      <c r="CY51" s="1">
        <f>G18</f>
        <v>300</v>
      </c>
      <c r="CZ51" s="1">
        <f t="shared" si="3"/>
        <v>291.30187853019197</v>
      </c>
      <c r="DA51" s="1">
        <f t="shared" si="4"/>
        <v>282.62488987665506</v>
      </c>
      <c r="DB51" s="1">
        <f t="shared" si="5"/>
        <v>273.98991857563033</v>
      </c>
      <c r="DC51" s="1">
        <f t="shared" si="6"/>
        <v>265.4173555383353</v>
      </c>
      <c r="DD51" s="1">
        <f t="shared" si="7"/>
        <v>256.92685854049967</v>
      </c>
      <c r="DE51" s="1">
        <f t="shared" si="8"/>
        <v>248.53712137531284</v>
      </c>
      <c r="DF51" s="1">
        <f t="shared" si="9"/>
        <v>240.26565439391069</v>
      </c>
      <c r="DG51" s="1">
        <f t="shared" si="10"/>
        <v>232.12857902001087</v>
      </c>
      <c r="DH51" s="1">
        <f t="shared" si="11"/>
        <v>224.14043865682714</v>
      </c>
      <c r="DI51" s="1">
        <f t="shared" si="12"/>
        <v>216.31402820713888</v>
      </c>
      <c r="DJ51" s="1">
        <f t="shared" si="13"/>
        <v>208.66024420391835</v>
      </c>
      <c r="DK51" s="1">
        <f t="shared" si="14"/>
        <v>201.18795730208953</v>
      </c>
      <c r="DL51" s="1">
        <f t="shared" si="15"/>
        <v>193.90390861494188</v>
      </c>
      <c r="DM51" s="1">
        <f t="shared" si="16"/>
        <v>186.81263109481293</v>
      </c>
      <c r="DN51" s="1">
        <f t="shared" si="17"/>
        <v>179.91639686041736</v>
      </c>
      <c r="DO51" s="1">
        <f t="shared" si="18"/>
        <v>173.21519106628773</v>
      </c>
      <c r="DP51" s="1">
        <f t="shared" si="19"/>
        <v>166.70671259693188</v>
      </c>
      <c r="DQ51" s="1">
        <f t="shared" si="20"/>
        <v>160.38640155324947</v>
      </c>
      <c r="DR51" s="1">
        <f t="shared" si="21"/>
        <v>154.24749318520375</v>
      </c>
      <c r="DS51" s="1">
        <f t="shared" si="22"/>
        <v>148.28109761636654</v>
      </c>
      <c r="DT51" s="1">
        <f t="shared" si="23"/>
        <v>142.47630440628092</v>
      </c>
      <c r="DU51" s="1">
        <f t="shared" si="24"/>
        <v>136.82031070900115</v>
      </c>
      <c r="DV51" s="1">
        <f t="shared" si="25"/>
        <v>131.29857151387861</v>
      </c>
      <c r="DW51" s="1">
        <f t="shared" si="26"/>
        <v>125.89497020065437</v>
      </c>
      <c r="DX51" s="1">
        <f t="shared" si="27"/>
        <v>120.59200740794057</v>
      </c>
      <c r="DY51" s="1">
        <f t="shared" si="28"/>
        <v>115.37100600471635</v>
      </c>
      <c r="DZ51" s="1">
        <f t="shared" si="29"/>
        <v>110.21232977073697</v>
      </c>
      <c r="EA51" s="1">
        <f t="shared" si="30"/>
        <v>105.0956132356757</v>
      </c>
      <c r="EB51" s="1">
        <f>AJ18</f>
        <v>100</v>
      </c>
    </row>
    <row r="52" spans="4:132">
      <c r="D52" s="3"/>
      <c r="E52" s="3"/>
      <c r="F52" s="1">
        <v>13</v>
      </c>
      <c r="G52" s="1">
        <f>0</f>
        <v>0</v>
      </c>
      <c r="H52" s="1">
        <f>$C$16/($C$17-$C$18*G52)</f>
        <v>0.3415922014622258</v>
      </c>
      <c r="I52" s="1">
        <f>$C$16/($C$17-$C$18*H52)</f>
        <v>0.3867162803971414</v>
      </c>
      <c r="J52" s="1">
        <f>$C$16/($C$17-$C$18*I52)</f>
        <v>0.39358441341045353</v>
      </c>
      <c r="K52" s="1">
        <f>$C$16/($C$17-$C$18*J52)</f>
        <v>0.39465123071155611</v>
      </c>
      <c r="L52" s="1">
        <f>$C$16/($C$17-$C$18*K52)</f>
        <v>0.39481745705771337</v>
      </c>
      <c r="M52" s="1">
        <f>$C$16/($C$17-$C$18*L52)</f>
        <v>0.39484337025824801</v>
      </c>
      <c r="N52" s="1">
        <f>$C$16/($C$17-$C$18*M52)</f>
        <v>0.39484741020089792</v>
      </c>
      <c r="O52" s="1">
        <f>$C$16/($C$17-$C$18*N52)</f>
        <v>0.39484804004704999</v>
      </c>
      <c r="P52" s="1">
        <f>$C$16/($C$17-$C$18*O52)</f>
        <v>0.39484813824322279</v>
      </c>
      <c r="Q52" s="1">
        <f>$C$16/($C$17-$C$18*P52)</f>
        <v>0.39484815355250286</v>
      </c>
      <c r="R52" s="1">
        <f>$C$16/($C$17-$C$18*Q52)</f>
        <v>0.39484815593929717</v>
      </c>
      <c r="S52" s="1">
        <f>$C$16/($C$17-$C$18*R52)</f>
        <v>0.39484815631141046</v>
      </c>
      <c r="T52" s="1">
        <f>$C$16/($C$17-$C$18*S52)</f>
        <v>0.39484815636942483</v>
      </c>
      <c r="U52" s="1">
        <f>$C$16/($C$17-$C$18*T52)</f>
        <v>0.39484815637846954</v>
      </c>
      <c r="V52" s="1">
        <f>$C$16/($C$17-$C$18*U52)</f>
        <v>0.39484815637987963</v>
      </c>
      <c r="W52" s="1">
        <f>$C$16/($C$17-$C$18*V52)</f>
        <v>0.39484815638009951</v>
      </c>
      <c r="X52" s="1">
        <f>$C$16/($C$17-$C$18*W52)</f>
        <v>0.39484815638013382</v>
      </c>
      <c r="Y52" s="1">
        <f>$C$16/($C$17-$C$18*X52)</f>
        <v>0.39484815638013915</v>
      </c>
      <c r="Z52" s="1">
        <f>$C$16/($C$17-$C$18*Y52)</f>
        <v>0.39484815638013998</v>
      </c>
      <c r="AA52" s="1">
        <f>$C$16/($C$17-$C$18*Z52)</f>
        <v>0.39484815638014015</v>
      </c>
      <c r="AB52" s="1">
        <f>$C$16/($C$17-$C$18*AA52)</f>
        <v>0.39484815638014015</v>
      </c>
      <c r="AC52" s="1">
        <f>$C$16/($C$17-$C$18*AB52)</f>
        <v>0.39484815638014015</v>
      </c>
      <c r="AD52" s="1">
        <f>$C$16/($C$17-$C$18*AC52)</f>
        <v>0.39484815638014015</v>
      </c>
      <c r="AE52" s="1">
        <f>$C$16/($C$17-$C$18*AD52)</f>
        <v>0.39484815638014015</v>
      </c>
      <c r="AF52" s="1">
        <f>$C$16/($C$17-$C$18*AE52)</f>
        <v>0.39484815638014015</v>
      </c>
      <c r="AG52" s="1">
        <f>$C$16/($C$17-$C$18*AF52)</f>
        <v>0.39484815638014015</v>
      </c>
      <c r="AH52" s="1">
        <f>$C$16/($C$17-$C$18*AG52)</f>
        <v>0.39484815638014015</v>
      </c>
      <c r="AI52" s="1">
        <f>$C$16/($C$17-$C$18*AH52)</f>
        <v>0.39484815638014015</v>
      </c>
      <c r="AJ52" s="1">
        <f>$C$16/($C$17-$C$18*AI52)</f>
        <v>0.39484815638014015</v>
      </c>
      <c r="AK52" s="2"/>
      <c r="AL52" s="2"/>
      <c r="AM52" s="1">
        <f>G19</f>
        <v>300</v>
      </c>
      <c r="AN52" s="1">
        <f>(AM52*$C$18-BT52)/($C$17-$C$18*G52)</f>
        <v>194.75942020920627</v>
      </c>
      <c r="AO52" s="1">
        <f>(AN52*$C$18-BU52)/($C$17-$C$18*H52)</f>
        <v>176.66852769877164</v>
      </c>
      <c r="AP52" s="1">
        <f>(AO52*$C$18-BV52)/($C$17-$C$18*I52)</f>
        <v>169.52578438712084</v>
      </c>
      <c r="AQ52" s="1">
        <f>(AP52*$C$18-BW52)/($C$17-$C$18*J52)</f>
        <v>164.02085461247324</v>
      </c>
      <c r="AR52" s="1">
        <f>(AQ52*$C$18-BX52)/($C$17-$C$18*K52)</f>
        <v>158.80006429465439</v>
      </c>
      <c r="AS52" s="1">
        <f>(AR52*$C$18-BY52)/($C$17-$C$18*L52)</f>
        <v>153.66982063711771</v>
      </c>
      <c r="AT52" s="1">
        <f>(AS52*$C$18-BZ52)/($C$17-$C$18*M52)</f>
        <v>148.61028613424489</v>
      </c>
      <c r="AU52" s="1">
        <f>(AT52*$C$18-CA52)/($C$17-$C$18*N52)</f>
        <v>143.62716612107664</v>
      </c>
      <c r="AV52" s="1">
        <f>(AU52*$C$18-CB52)/($C$17-$C$18*O52)</f>
        <v>138.72924734334637</v>
      </c>
      <c r="AW52" s="1">
        <f>(AV52*$C$18-CC52)/($C$17-$C$18*P52)</f>
        <v>133.92491606340738</v>
      </c>
      <c r="AX52" s="1">
        <f>(AW52*$C$18-CD52)/($C$17-$C$18*Q52)</f>
        <v>129.22155026599424</v>
      </c>
      <c r="AY52" s="1">
        <f>(AX52*$C$18-CE52)/($C$17-$C$18*R52)</f>
        <v>124.6253564839035</v>
      </c>
      <c r="AZ52" s="1">
        <f>(AY52*$C$18-CF52)/($C$17-$C$18*S52)</f>
        <v>120.14128564063351</v>
      </c>
      <c r="BA52" s="1">
        <f>(AZ52*$C$18-CG52)/($C$17-$C$18*T52)</f>
        <v>115.77297349222006</v>
      </c>
      <c r="BB52" s="1">
        <f>(BA52*$C$18-CH52)/($C$17-$C$18*U52)</f>
        <v>111.52269801090505</v>
      </c>
      <c r="BC52" s="1">
        <f>(BB52*$C$18-CI52)/($C$17-$C$18*V52)</f>
        <v>107.39135294120206</v>
      </c>
      <c r="BD52" s="1">
        <f>(BC52*$C$18-CJ52)/($C$17-$C$18*W52)</f>
        <v>103.37843763518748</v>
      </c>
      <c r="BE52" s="1">
        <f>(BD52*$C$18-CK52)/($C$17-$C$18*X52)</f>
        <v>99.482063242813709</v>
      </c>
      <c r="BF52" s="1">
        <f>(BE52*$C$18-CL52)/($C$17-$C$18*Y52)</f>
        <v>95.698975165357865</v>
      </c>
      <c r="BG52" s="1">
        <f>(BF52*$C$18-CM52)/($C$17-$C$18*Z52)</f>
        <v>92.024591493690863</v>
      </c>
      <c r="BH52" s="1">
        <f>(BG52*$C$18-CN52)/($C$17-$C$18*AA52)</f>
        <v>88.453056967473856</v>
      </c>
      <c r="BI52" s="1">
        <f>(BH52*$C$18-CO52)/($C$17-$C$18*AB52)</f>
        <v>84.977311811400185</v>
      </c>
      <c r="BJ52" s="1">
        <f>(BI52*$C$18-CP52)/($C$17-$C$18*AC52)</f>
        <v>81.589174632617556</v>
      </c>
      <c r="BK52" s="1">
        <f>(BJ52*$C$18-CQ52)/($C$17-$C$18*AD52)</f>
        <v>78.279438401448843</v>
      </c>
      <c r="BL52" s="1">
        <f>(BK52*$C$18-CR52)/($C$17-$C$18*AE52)</f>
        <v>75.037978387256231</v>
      </c>
      <c r="BM52" s="1">
        <f>(BL52*$C$18-CS52)/($C$17-$C$18*AF52)</f>
        <v>71.853870784380831</v>
      </c>
      <c r="BN52" s="1">
        <f>(BM52*$C$18-CT52)/($C$17-$C$18*AG52)</f>
        <v>68.715520640990164</v>
      </c>
      <c r="BO52" s="1">
        <f>(BN52*$C$18-CU52)/($C$17-$C$18*AH52)</f>
        <v>65.610797597661687</v>
      </c>
      <c r="BP52" s="1">
        <f>(BO52*$C$18-CV52)/($C$17-$C$18*AI52)</f>
        <v>62.527177853718776</v>
      </c>
      <c r="BQ52" s="2"/>
      <c r="BR52" s="2"/>
      <c r="BS52" s="1">
        <f>-$C$10*$C$9*G19/$C$7</f>
        <v>-1076400000</v>
      </c>
      <c r="BT52" s="1">
        <f>-$C$10*$C$9*H19/$C$7</f>
        <v>-1045109385.7533028</v>
      </c>
      <c r="BU52" s="1">
        <f>-$C$10*$C$9*I19/$C$7</f>
        <v>-1013895556.5475094</v>
      </c>
      <c r="BV52" s="1">
        <f>-$C$10*$C$9*J19/$C$7</f>
        <v>-982834395.24029708</v>
      </c>
      <c r="BW52" s="1">
        <f>-$C$10*$C$9*K19/$C$7</f>
        <v>-951999990.9912945</v>
      </c>
      <c r="BX52" s="1">
        <f>-$C$10*$C$9*L19/$C$7</f>
        <v>-921463768.95472741</v>
      </c>
      <c r="BY52" s="1">
        <f>-$C$10*$C$9*M19/$C$7</f>
        <v>-891293651.46163332</v>
      </c>
      <c r="BZ52" s="1">
        <f>-$C$10*$C$9*N19/$C$7</f>
        <v>-861553260.5925678</v>
      </c>
      <c r="CA52" s="1">
        <f>-$C$10*$C$9*O19/$C$7</f>
        <v>-832301171.5413425</v>
      </c>
      <c r="CB52" s="1">
        <f>-$C$10*$C$9*P19/$C$7</f>
        <v>-803590225.55734742</v>
      </c>
      <c r="CC52" s="1">
        <f>-$C$10*$C$9*Q19/$C$7</f>
        <v>-775466910.53640938</v>
      </c>
      <c r="CD52" s="1">
        <f>-$C$10*$C$9*R19/$C$7</f>
        <v>-747970816.51721489</v>
      </c>
      <c r="CE52" s="1">
        <f>-$C$10*$C$9*S19/$C$7</f>
        <v>-721134172.44258165</v>
      </c>
      <c r="CF52" s="1">
        <f>-$C$10*$C$9*T19/$C$7</f>
        <v>-694981469.5736829</v>
      </c>
      <c r="CG52" s="1">
        <f>-$C$10*$C$9*U19/$C$7</f>
        <v>-669529175.91300058</v>
      </c>
      <c r="CH52" s="1">
        <f>-$C$10*$C$9*V19/$C$7</f>
        <v>-644785544.91116488</v>
      </c>
      <c r="CI52" s="1">
        <f>-$C$10*$C$9*W19/$C$7</f>
        <v>-620750520.61722052</v>
      </c>
      <c r="CJ52" s="1">
        <f>-$C$10*$C$9*X19/$C$7</f>
        <v>-597415740.29483116</v>
      </c>
      <c r="CK52" s="1">
        <f>-$C$10*$C$9*Y19/$C$7</f>
        <v>-574764634.38209128</v>
      </c>
      <c r="CL52" s="1">
        <f>-$C$10*$C$9*Z19/$C$7</f>
        <v>-552772622.53349304</v>
      </c>
      <c r="CM52" s="1">
        <f>-$C$10*$C$9*AA19/$C$7</f>
        <v>-531407403.36245638</v>
      </c>
      <c r="CN52" s="1">
        <f>-$C$10*$C$9*AB19/$C$7</f>
        <v>-510629334.41449511</v>
      </c>
      <c r="CO52" s="1">
        <f>-$C$10*$C$9*AC19/$C$7</f>
        <v>-490391897.85685062</v>
      </c>
      <c r="CP52" s="1">
        <f>-$C$10*$C$9*AD19/$C$7</f>
        <v>-470642246.38188481</v>
      </c>
      <c r="CQ52" s="1">
        <f>-$C$10*$C$9*AE19/$C$7</f>
        <v>-451321822.89950132</v>
      </c>
      <c r="CR52" s="1">
        <f>-$C$10*$C$9*AF19/$C$7</f>
        <v>-432367046.74831128</v>
      </c>
      <c r="CS52" s="1">
        <f>-$C$10*$C$9*AG19/$C$7</f>
        <v>-413710058.39518183</v>
      </c>
      <c r="CT52" s="1">
        <f>-$C$10*$C$9*AH19/$C$7</f>
        <v>-395279513.92616969</v>
      </c>
      <c r="CU52" s="1">
        <f>-$C$10*$C$9*AI19/$C$7</f>
        <v>-377001420.06560147</v>
      </c>
      <c r="CV52" s="1">
        <f>-$C$10*$C$9*AJ19/$C$7</f>
        <v>-358800000</v>
      </c>
      <c r="CW52" s="2"/>
      <c r="CX52" s="2"/>
      <c r="CY52" s="1">
        <f>G19</f>
        <v>300</v>
      </c>
      <c r="CZ52" s="1">
        <f t="shared" si="3"/>
        <v>291.30187853019197</v>
      </c>
      <c r="DA52" s="1">
        <f t="shared" si="4"/>
        <v>282.62488987665506</v>
      </c>
      <c r="DB52" s="1">
        <f t="shared" si="5"/>
        <v>273.98991857563033</v>
      </c>
      <c r="DC52" s="1">
        <f t="shared" si="6"/>
        <v>265.4173555383353</v>
      </c>
      <c r="DD52" s="1">
        <f t="shared" si="7"/>
        <v>256.92685854049967</v>
      </c>
      <c r="DE52" s="1">
        <f t="shared" si="8"/>
        <v>248.53712137531284</v>
      </c>
      <c r="DF52" s="1">
        <f t="shared" si="9"/>
        <v>240.26565439391067</v>
      </c>
      <c r="DG52" s="1">
        <f t="shared" si="10"/>
        <v>232.12857902001087</v>
      </c>
      <c r="DH52" s="1">
        <f t="shared" si="11"/>
        <v>224.14043865682714</v>
      </c>
      <c r="DI52" s="1">
        <f t="shared" si="12"/>
        <v>216.31402820713888</v>
      </c>
      <c r="DJ52" s="1">
        <f t="shared" si="13"/>
        <v>208.66024420391835</v>
      </c>
      <c r="DK52" s="1">
        <f t="shared" si="14"/>
        <v>201.18795730208953</v>
      </c>
      <c r="DL52" s="1">
        <f t="shared" si="15"/>
        <v>193.90390861494188</v>
      </c>
      <c r="DM52" s="1">
        <f t="shared" si="16"/>
        <v>186.81263109481293</v>
      </c>
      <c r="DN52" s="1">
        <f t="shared" si="17"/>
        <v>179.91639686041736</v>
      </c>
      <c r="DO52" s="1">
        <f t="shared" si="18"/>
        <v>173.21519106628773</v>
      </c>
      <c r="DP52" s="1">
        <f t="shared" si="19"/>
        <v>166.70671259693188</v>
      </c>
      <c r="DQ52" s="1">
        <f t="shared" si="20"/>
        <v>160.38640155324947</v>
      </c>
      <c r="DR52" s="1">
        <f t="shared" si="21"/>
        <v>154.24749318520375</v>
      </c>
      <c r="DS52" s="1">
        <f t="shared" si="22"/>
        <v>148.28109761636654</v>
      </c>
      <c r="DT52" s="1">
        <f t="shared" si="23"/>
        <v>142.47630440628092</v>
      </c>
      <c r="DU52" s="1">
        <f t="shared" si="24"/>
        <v>136.82031070900115</v>
      </c>
      <c r="DV52" s="1">
        <f t="shared" si="25"/>
        <v>131.29857151387861</v>
      </c>
      <c r="DW52" s="1">
        <f t="shared" si="26"/>
        <v>125.89497020065437</v>
      </c>
      <c r="DX52" s="1">
        <f t="shared" si="27"/>
        <v>120.59200740794057</v>
      </c>
      <c r="DY52" s="1">
        <f t="shared" si="28"/>
        <v>115.37100600471635</v>
      </c>
      <c r="DZ52" s="1">
        <f t="shared" si="29"/>
        <v>110.21232977073697</v>
      </c>
      <c r="EA52" s="1">
        <f t="shared" si="30"/>
        <v>105.0956132356757</v>
      </c>
      <c r="EB52" s="1">
        <f>AJ19</f>
        <v>100</v>
      </c>
    </row>
    <row r="53" spans="4:132">
      <c r="D53" s="3"/>
      <c r="E53" s="3"/>
      <c r="F53" s="1">
        <v>12</v>
      </c>
      <c r="G53" s="1">
        <f>0</f>
        <v>0</v>
      </c>
      <c r="H53" s="1">
        <f>$C$16/($C$17-$C$18*G53)</f>
        <v>0.3415922014622258</v>
      </c>
      <c r="I53" s="1">
        <f>$C$16/($C$17-$C$18*H53)</f>
        <v>0.3867162803971414</v>
      </c>
      <c r="J53" s="1">
        <f>$C$16/($C$17-$C$18*I53)</f>
        <v>0.39358441341045353</v>
      </c>
      <c r="K53" s="1">
        <f>$C$16/($C$17-$C$18*J53)</f>
        <v>0.39465123071155611</v>
      </c>
      <c r="L53" s="1">
        <f>$C$16/($C$17-$C$18*K53)</f>
        <v>0.39481745705771337</v>
      </c>
      <c r="M53" s="1">
        <f>$C$16/($C$17-$C$18*L53)</f>
        <v>0.39484337025824801</v>
      </c>
      <c r="N53" s="1">
        <f>$C$16/($C$17-$C$18*M53)</f>
        <v>0.39484741020089792</v>
      </c>
      <c r="O53" s="1">
        <f>$C$16/($C$17-$C$18*N53)</f>
        <v>0.39484804004704999</v>
      </c>
      <c r="P53" s="1">
        <f>$C$16/($C$17-$C$18*O53)</f>
        <v>0.39484813824322279</v>
      </c>
      <c r="Q53" s="1">
        <f>$C$16/($C$17-$C$18*P53)</f>
        <v>0.39484815355250286</v>
      </c>
      <c r="R53" s="1">
        <f>$C$16/($C$17-$C$18*Q53)</f>
        <v>0.39484815593929717</v>
      </c>
      <c r="S53" s="1">
        <f>$C$16/($C$17-$C$18*R53)</f>
        <v>0.39484815631141046</v>
      </c>
      <c r="T53" s="1">
        <f>$C$16/($C$17-$C$18*S53)</f>
        <v>0.39484815636942483</v>
      </c>
      <c r="U53" s="1">
        <f>$C$16/($C$17-$C$18*T53)</f>
        <v>0.39484815637846954</v>
      </c>
      <c r="V53" s="1">
        <f>$C$16/($C$17-$C$18*U53)</f>
        <v>0.39484815637987963</v>
      </c>
      <c r="W53" s="1">
        <f>$C$16/($C$17-$C$18*V53)</f>
        <v>0.39484815638009951</v>
      </c>
      <c r="X53" s="1">
        <f>$C$16/($C$17-$C$18*W53)</f>
        <v>0.39484815638013382</v>
      </c>
      <c r="Y53" s="1">
        <f>$C$16/($C$17-$C$18*X53)</f>
        <v>0.39484815638013915</v>
      </c>
      <c r="Z53" s="1">
        <f>$C$16/($C$17-$C$18*Y53)</f>
        <v>0.39484815638013998</v>
      </c>
      <c r="AA53" s="1">
        <f>$C$16/($C$17-$C$18*Z53)</f>
        <v>0.39484815638014015</v>
      </c>
      <c r="AB53" s="1">
        <f>$C$16/($C$17-$C$18*AA53)</f>
        <v>0.39484815638014015</v>
      </c>
      <c r="AC53" s="1">
        <f>$C$16/($C$17-$C$18*AB53)</f>
        <v>0.39484815638014015</v>
      </c>
      <c r="AD53" s="1">
        <f>$C$16/($C$17-$C$18*AC53)</f>
        <v>0.39484815638014015</v>
      </c>
      <c r="AE53" s="1">
        <f>$C$16/($C$17-$C$18*AD53)</f>
        <v>0.39484815638014015</v>
      </c>
      <c r="AF53" s="1">
        <f>$C$16/($C$17-$C$18*AE53)</f>
        <v>0.39484815638014015</v>
      </c>
      <c r="AG53" s="1">
        <f>$C$16/($C$17-$C$18*AF53)</f>
        <v>0.39484815638014015</v>
      </c>
      <c r="AH53" s="1">
        <f>$C$16/($C$17-$C$18*AG53)</f>
        <v>0.39484815638014015</v>
      </c>
      <c r="AI53" s="1">
        <f>$C$16/($C$17-$C$18*AH53)</f>
        <v>0.39484815638014015</v>
      </c>
      <c r="AJ53" s="1">
        <f>$C$16/($C$17-$C$18*AI53)</f>
        <v>0.39484815638014015</v>
      </c>
      <c r="AK53" s="2"/>
      <c r="AL53" s="2"/>
      <c r="AM53" s="1">
        <f>G20</f>
        <v>300</v>
      </c>
      <c r="AN53" s="1">
        <f>(AM53*$C$18-BT53)/($C$17-$C$18*G53)</f>
        <v>194.75942020920627</v>
      </c>
      <c r="AO53" s="1">
        <f>(AN53*$C$18-BU53)/($C$17-$C$18*H53)</f>
        <v>176.66852769877164</v>
      </c>
      <c r="AP53" s="1">
        <f>(AO53*$C$18-BV53)/($C$17-$C$18*I53)</f>
        <v>169.52578438712084</v>
      </c>
      <c r="AQ53" s="1">
        <f>(AP53*$C$18-BW53)/($C$17-$C$18*J53)</f>
        <v>164.02085461247324</v>
      </c>
      <c r="AR53" s="1">
        <f>(AQ53*$C$18-BX53)/($C$17-$C$18*K53)</f>
        <v>158.80006429465436</v>
      </c>
      <c r="AS53" s="1">
        <f>(AR53*$C$18-BY53)/($C$17-$C$18*L53)</f>
        <v>153.66982063711771</v>
      </c>
      <c r="AT53" s="1">
        <f>(AS53*$C$18-BZ53)/($C$17-$C$18*M53)</f>
        <v>148.61028613424489</v>
      </c>
      <c r="AU53" s="1">
        <f>(AT53*$C$18-CA53)/($C$17-$C$18*N53)</f>
        <v>143.62716612107664</v>
      </c>
      <c r="AV53" s="1">
        <f>(AU53*$C$18-CB53)/($C$17-$C$18*O53)</f>
        <v>138.72924734334637</v>
      </c>
      <c r="AW53" s="1">
        <f>(AV53*$C$18-CC53)/($C$17-$C$18*P53)</f>
        <v>133.92491606340738</v>
      </c>
      <c r="AX53" s="1">
        <f>(AW53*$C$18-CD53)/($C$17-$C$18*Q53)</f>
        <v>129.22155026599424</v>
      </c>
      <c r="AY53" s="1">
        <f>(AX53*$C$18-CE53)/($C$17-$C$18*R53)</f>
        <v>124.6253564839035</v>
      </c>
      <c r="AZ53" s="1">
        <f>(AY53*$C$18-CF53)/($C$17-$C$18*S53)</f>
        <v>120.14128564063351</v>
      </c>
      <c r="BA53" s="1">
        <f>(AZ53*$C$18-CG53)/($C$17-$C$18*T53)</f>
        <v>115.77297349222006</v>
      </c>
      <c r="BB53" s="1">
        <f>(BA53*$C$18-CH53)/($C$17-$C$18*U53)</f>
        <v>111.52269801090505</v>
      </c>
      <c r="BC53" s="1">
        <f>(BB53*$C$18-CI53)/($C$17-$C$18*V53)</f>
        <v>107.39135294120206</v>
      </c>
      <c r="BD53" s="1">
        <f>(BC53*$C$18-CJ53)/($C$17-$C$18*W53)</f>
        <v>103.37843763518748</v>
      </c>
      <c r="BE53" s="1">
        <f>(BD53*$C$18-CK53)/($C$17-$C$18*X53)</f>
        <v>99.482063242813709</v>
      </c>
      <c r="BF53" s="1">
        <f>(BE53*$C$18-CL53)/($C$17-$C$18*Y53)</f>
        <v>95.698975165357865</v>
      </c>
      <c r="BG53" s="1">
        <f>(BF53*$C$18-CM53)/($C$17-$C$18*Z53)</f>
        <v>92.024591493690863</v>
      </c>
      <c r="BH53" s="1">
        <f>(BG53*$C$18-CN53)/($C$17-$C$18*AA53)</f>
        <v>88.453056967473856</v>
      </c>
      <c r="BI53" s="1">
        <f>(BH53*$C$18-CO53)/($C$17-$C$18*AB53)</f>
        <v>84.97731181140017</v>
      </c>
      <c r="BJ53" s="1">
        <f>(BI53*$C$18-CP53)/($C$17-$C$18*AC53)</f>
        <v>81.589174632617556</v>
      </c>
      <c r="BK53" s="1">
        <f>(BJ53*$C$18-CQ53)/($C$17-$C$18*AD53)</f>
        <v>78.279438401448843</v>
      </c>
      <c r="BL53" s="1">
        <f>(BK53*$C$18-CR53)/($C$17-$C$18*AE53)</f>
        <v>75.037978387256231</v>
      </c>
      <c r="BM53" s="1">
        <f>(BL53*$C$18-CS53)/($C$17-$C$18*AF53)</f>
        <v>71.853870784380831</v>
      </c>
      <c r="BN53" s="1">
        <f>(BM53*$C$18-CT53)/($C$17-$C$18*AG53)</f>
        <v>68.715520640990164</v>
      </c>
      <c r="BO53" s="1">
        <f>(BN53*$C$18-CU53)/($C$17-$C$18*AH53)</f>
        <v>65.610797597661687</v>
      </c>
      <c r="BP53" s="1">
        <f>(BO53*$C$18-CV53)/($C$17-$C$18*AI53)</f>
        <v>62.527177853718776</v>
      </c>
      <c r="BQ53" s="2"/>
      <c r="BR53" s="2"/>
      <c r="BS53" s="1">
        <f>-$C$10*$C$9*G20/$C$7</f>
        <v>-1076400000</v>
      </c>
      <c r="BT53" s="1">
        <f>-$C$10*$C$9*H20/$C$7</f>
        <v>-1045109385.7533028</v>
      </c>
      <c r="BU53" s="1">
        <f>-$C$10*$C$9*I20/$C$7</f>
        <v>-1013895556.5475094</v>
      </c>
      <c r="BV53" s="1">
        <f>-$C$10*$C$9*J20/$C$7</f>
        <v>-982834395.24029696</v>
      </c>
      <c r="BW53" s="1">
        <f>-$C$10*$C$9*K20/$C$7</f>
        <v>-951999990.9912945</v>
      </c>
      <c r="BX53" s="1">
        <f>-$C$10*$C$9*L20/$C$7</f>
        <v>-921463768.95472717</v>
      </c>
      <c r="BY53" s="1">
        <f>-$C$10*$C$9*M20/$C$7</f>
        <v>-891293651.46163332</v>
      </c>
      <c r="BZ53" s="1">
        <f>-$C$10*$C$9*N20/$C$7</f>
        <v>-861553260.5925678</v>
      </c>
      <c r="CA53" s="1">
        <f>-$C$10*$C$9*O20/$C$7</f>
        <v>-832301171.5413425</v>
      </c>
      <c r="CB53" s="1">
        <f>-$C$10*$C$9*P20/$C$7</f>
        <v>-803590225.5573473</v>
      </c>
      <c r="CC53" s="1">
        <f>-$C$10*$C$9*Q20/$C$7</f>
        <v>-775466910.53640938</v>
      </c>
      <c r="CD53" s="1">
        <f>-$C$10*$C$9*R20/$C$7</f>
        <v>-747970816.51721489</v>
      </c>
      <c r="CE53" s="1">
        <f>-$C$10*$C$9*S20/$C$7</f>
        <v>-721134172.44258165</v>
      </c>
      <c r="CF53" s="1">
        <f>-$C$10*$C$9*T20/$C$7</f>
        <v>-694981469.57368302</v>
      </c>
      <c r="CG53" s="1">
        <f>-$C$10*$C$9*U20/$C$7</f>
        <v>-669529175.91300058</v>
      </c>
      <c r="CH53" s="1">
        <f>-$C$10*$C$9*V20/$C$7</f>
        <v>-644785544.91116476</v>
      </c>
      <c r="CI53" s="1">
        <f>-$C$10*$C$9*W20/$C$7</f>
        <v>-620750520.61722052</v>
      </c>
      <c r="CJ53" s="1">
        <f>-$C$10*$C$9*X20/$C$7</f>
        <v>-597415740.29483116</v>
      </c>
      <c r="CK53" s="1">
        <f>-$C$10*$C$9*Y20/$C$7</f>
        <v>-574764634.38209128</v>
      </c>
      <c r="CL53" s="1">
        <f>-$C$10*$C$9*Z20/$C$7</f>
        <v>-552772622.53349304</v>
      </c>
      <c r="CM53" s="1">
        <f>-$C$10*$C$9*AA20/$C$7</f>
        <v>-531407403.3624565</v>
      </c>
      <c r="CN53" s="1">
        <f>-$C$10*$C$9*AB20/$C$7</f>
        <v>-510629334.41449511</v>
      </c>
      <c r="CO53" s="1">
        <f>-$C$10*$C$9*AC20/$C$7</f>
        <v>-490391897.85685056</v>
      </c>
      <c r="CP53" s="1">
        <f>-$C$10*$C$9*AD20/$C$7</f>
        <v>-470642246.38188481</v>
      </c>
      <c r="CQ53" s="1">
        <f>-$C$10*$C$9*AE20/$C$7</f>
        <v>-451321822.89950126</v>
      </c>
      <c r="CR53" s="1">
        <f>-$C$10*$C$9*AF20/$C$7</f>
        <v>-432367046.74831128</v>
      </c>
      <c r="CS53" s="1">
        <f>-$C$10*$C$9*AG20/$C$7</f>
        <v>-413710058.39518183</v>
      </c>
      <c r="CT53" s="1">
        <f>-$C$10*$C$9*AH20/$C$7</f>
        <v>-395279513.92616969</v>
      </c>
      <c r="CU53" s="1">
        <f>-$C$10*$C$9*AI20/$C$7</f>
        <v>-377001420.06560153</v>
      </c>
      <c r="CV53" s="1">
        <f>-$C$10*$C$9*AJ20/$C$7</f>
        <v>-358800000</v>
      </c>
      <c r="CW53" s="2"/>
      <c r="CX53" s="2"/>
      <c r="CY53" s="1">
        <f>G20</f>
        <v>300</v>
      </c>
      <c r="CZ53" s="1">
        <f t="shared" si="3"/>
        <v>291.30187853019197</v>
      </c>
      <c r="DA53" s="1">
        <f t="shared" si="4"/>
        <v>282.62488987665506</v>
      </c>
      <c r="DB53" s="1">
        <f t="shared" si="5"/>
        <v>273.98991857563033</v>
      </c>
      <c r="DC53" s="1">
        <f t="shared" si="6"/>
        <v>265.4173555383353</v>
      </c>
      <c r="DD53" s="1">
        <f t="shared" si="7"/>
        <v>256.92685854049967</v>
      </c>
      <c r="DE53" s="1">
        <f t="shared" si="8"/>
        <v>248.53712137531284</v>
      </c>
      <c r="DF53" s="1">
        <f t="shared" si="9"/>
        <v>240.26565439391067</v>
      </c>
      <c r="DG53" s="1">
        <f t="shared" si="10"/>
        <v>232.12857902001087</v>
      </c>
      <c r="DH53" s="1">
        <f t="shared" si="11"/>
        <v>224.14043865682714</v>
      </c>
      <c r="DI53" s="1">
        <f t="shared" si="12"/>
        <v>216.31402820713888</v>
      </c>
      <c r="DJ53" s="1">
        <f t="shared" si="13"/>
        <v>208.66024420391835</v>
      </c>
      <c r="DK53" s="1">
        <f t="shared" si="14"/>
        <v>201.18795730208953</v>
      </c>
      <c r="DL53" s="1">
        <f t="shared" si="15"/>
        <v>193.90390861494188</v>
      </c>
      <c r="DM53" s="1">
        <f t="shared" si="16"/>
        <v>186.81263109481293</v>
      </c>
      <c r="DN53" s="1">
        <f t="shared" si="17"/>
        <v>179.91639686041736</v>
      </c>
      <c r="DO53" s="1">
        <f t="shared" si="18"/>
        <v>173.21519106628773</v>
      </c>
      <c r="DP53" s="1">
        <f t="shared" si="19"/>
        <v>166.70671259693188</v>
      </c>
      <c r="DQ53" s="1">
        <f t="shared" si="20"/>
        <v>160.38640155324947</v>
      </c>
      <c r="DR53" s="1">
        <f t="shared" si="21"/>
        <v>154.24749318520375</v>
      </c>
      <c r="DS53" s="1">
        <f t="shared" si="22"/>
        <v>148.28109761636651</v>
      </c>
      <c r="DT53" s="1">
        <f t="shared" si="23"/>
        <v>142.47630440628089</v>
      </c>
      <c r="DU53" s="1">
        <f t="shared" si="24"/>
        <v>136.82031070900112</v>
      </c>
      <c r="DV53" s="1">
        <f t="shared" si="25"/>
        <v>131.29857151387861</v>
      </c>
      <c r="DW53" s="1">
        <f t="shared" si="26"/>
        <v>125.89497020065437</v>
      </c>
      <c r="DX53" s="1">
        <f t="shared" si="27"/>
        <v>120.59200740794057</v>
      </c>
      <c r="DY53" s="1">
        <f t="shared" si="28"/>
        <v>115.37100600471635</v>
      </c>
      <c r="DZ53" s="1">
        <f t="shared" si="29"/>
        <v>110.21232977073697</v>
      </c>
      <c r="EA53" s="1">
        <f t="shared" si="30"/>
        <v>105.0956132356757</v>
      </c>
      <c r="EB53" s="1">
        <f>AJ20</f>
        <v>100</v>
      </c>
    </row>
    <row r="54" spans="4:132">
      <c r="D54" s="3"/>
      <c r="E54" s="3"/>
      <c r="F54" s="1">
        <v>11</v>
      </c>
      <c r="G54" s="1">
        <f>0</f>
        <v>0</v>
      </c>
      <c r="H54" s="1">
        <f>$C$16/($C$17-$C$18*G54)</f>
        <v>0.3415922014622258</v>
      </c>
      <c r="I54" s="1">
        <f>$C$16/($C$17-$C$18*H54)</f>
        <v>0.3867162803971414</v>
      </c>
      <c r="J54" s="1">
        <f>$C$16/($C$17-$C$18*I54)</f>
        <v>0.39358441341045353</v>
      </c>
      <c r="K54" s="1">
        <f>$C$16/($C$17-$C$18*J54)</f>
        <v>0.39465123071155611</v>
      </c>
      <c r="L54" s="1">
        <f>$C$16/($C$17-$C$18*K54)</f>
        <v>0.39481745705771337</v>
      </c>
      <c r="M54" s="1">
        <f>$C$16/($C$17-$C$18*L54)</f>
        <v>0.39484337025824801</v>
      </c>
      <c r="N54" s="1">
        <f>$C$16/($C$17-$C$18*M54)</f>
        <v>0.39484741020089792</v>
      </c>
      <c r="O54" s="1">
        <f>$C$16/($C$17-$C$18*N54)</f>
        <v>0.39484804004704999</v>
      </c>
      <c r="P54" s="1">
        <f>$C$16/($C$17-$C$18*O54)</f>
        <v>0.39484813824322279</v>
      </c>
      <c r="Q54" s="1">
        <f>$C$16/($C$17-$C$18*P54)</f>
        <v>0.39484815355250286</v>
      </c>
      <c r="R54" s="1">
        <f>$C$16/($C$17-$C$18*Q54)</f>
        <v>0.39484815593929717</v>
      </c>
      <c r="S54" s="1">
        <f>$C$16/($C$17-$C$18*R54)</f>
        <v>0.39484815631141046</v>
      </c>
      <c r="T54" s="1">
        <f>$C$16/($C$17-$C$18*S54)</f>
        <v>0.39484815636942483</v>
      </c>
      <c r="U54" s="1">
        <f>$C$16/($C$17-$C$18*T54)</f>
        <v>0.39484815637846954</v>
      </c>
      <c r="V54" s="1">
        <f>$C$16/($C$17-$C$18*U54)</f>
        <v>0.39484815637987963</v>
      </c>
      <c r="W54" s="1">
        <f>$C$16/($C$17-$C$18*V54)</f>
        <v>0.39484815638009951</v>
      </c>
      <c r="X54" s="1">
        <f>$C$16/($C$17-$C$18*W54)</f>
        <v>0.39484815638013382</v>
      </c>
      <c r="Y54" s="1">
        <f>$C$16/($C$17-$C$18*X54)</f>
        <v>0.39484815638013915</v>
      </c>
      <c r="Z54" s="1">
        <f>$C$16/($C$17-$C$18*Y54)</f>
        <v>0.39484815638013998</v>
      </c>
      <c r="AA54" s="1">
        <f>$C$16/($C$17-$C$18*Z54)</f>
        <v>0.39484815638014015</v>
      </c>
      <c r="AB54" s="1">
        <f>$C$16/($C$17-$C$18*AA54)</f>
        <v>0.39484815638014015</v>
      </c>
      <c r="AC54" s="1">
        <f>$C$16/($C$17-$C$18*AB54)</f>
        <v>0.39484815638014015</v>
      </c>
      <c r="AD54" s="1">
        <f>$C$16/($C$17-$C$18*AC54)</f>
        <v>0.39484815638014015</v>
      </c>
      <c r="AE54" s="1">
        <f>$C$16/($C$17-$C$18*AD54)</f>
        <v>0.39484815638014015</v>
      </c>
      <c r="AF54" s="1">
        <f>$C$16/($C$17-$C$18*AE54)</f>
        <v>0.39484815638014015</v>
      </c>
      <c r="AG54" s="1">
        <f>$C$16/($C$17-$C$18*AF54)</f>
        <v>0.39484815638014015</v>
      </c>
      <c r="AH54" s="1">
        <f>$C$16/($C$17-$C$18*AG54)</f>
        <v>0.39484815638014015</v>
      </c>
      <c r="AI54" s="1">
        <f>$C$16/($C$17-$C$18*AH54)</f>
        <v>0.39484815638014015</v>
      </c>
      <c r="AJ54" s="1">
        <f>$C$16/($C$17-$C$18*AI54)</f>
        <v>0.39484815638014015</v>
      </c>
      <c r="AK54" s="2"/>
      <c r="AL54" s="2"/>
      <c r="AM54" s="1">
        <f>G21</f>
        <v>300</v>
      </c>
      <c r="AN54" s="1">
        <f>(AM54*$C$18-BT54)/($C$17-$C$18*G54)</f>
        <v>194.75942020920627</v>
      </c>
      <c r="AO54" s="1">
        <f>(AN54*$C$18-BU54)/($C$17-$C$18*H54)</f>
        <v>176.66852769877164</v>
      </c>
      <c r="AP54" s="1">
        <f>(AO54*$C$18-BV54)/($C$17-$C$18*I54)</f>
        <v>169.52578438712084</v>
      </c>
      <c r="AQ54" s="1">
        <f>(AP54*$C$18-BW54)/($C$17-$C$18*J54)</f>
        <v>164.02085461247324</v>
      </c>
      <c r="AR54" s="1">
        <f>(AQ54*$C$18-BX54)/($C$17-$C$18*K54)</f>
        <v>158.80006429465436</v>
      </c>
      <c r="AS54" s="1">
        <f>(AR54*$C$18-BY54)/($C$17-$C$18*L54)</f>
        <v>153.66982063711768</v>
      </c>
      <c r="AT54" s="1">
        <f>(AS54*$C$18-BZ54)/($C$17-$C$18*M54)</f>
        <v>148.61028613424486</v>
      </c>
      <c r="AU54" s="1">
        <f>(AT54*$C$18-CA54)/($C$17-$C$18*N54)</f>
        <v>143.62716612107661</v>
      </c>
      <c r="AV54" s="1">
        <f>(AU54*$C$18-CB54)/($C$17-$C$18*O54)</f>
        <v>138.72924734334637</v>
      </c>
      <c r="AW54" s="1">
        <f>(AV54*$C$18-CC54)/($C$17-$C$18*P54)</f>
        <v>133.92491606340738</v>
      </c>
      <c r="AX54" s="1">
        <f>(AW54*$C$18-CD54)/($C$17-$C$18*Q54)</f>
        <v>129.22155026599424</v>
      </c>
      <c r="AY54" s="1">
        <f>(AX54*$C$18-CE54)/($C$17-$C$18*R54)</f>
        <v>124.6253564839035</v>
      </c>
      <c r="AZ54" s="1">
        <f>(AY54*$C$18-CF54)/($C$17-$C$18*S54)</f>
        <v>120.14128564063351</v>
      </c>
      <c r="BA54" s="1">
        <f>(AZ54*$C$18-CG54)/($C$17-$C$18*T54)</f>
        <v>115.77297349222006</v>
      </c>
      <c r="BB54" s="1">
        <f>(BA54*$C$18-CH54)/($C$17-$C$18*U54)</f>
        <v>111.52269801090505</v>
      </c>
      <c r="BC54" s="1">
        <f>(BB54*$C$18-CI54)/($C$17-$C$18*V54)</f>
        <v>107.39135294120206</v>
      </c>
      <c r="BD54" s="1">
        <f>(BC54*$C$18-CJ54)/($C$17-$C$18*W54)</f>
        <v>103.37843763518748</v>
      </c>
      <c r="BE54" s="1">
        <f>(BD54*$C$18-CK54)/($C$17-$C$18*X54)</f>
        <v>99.482063242813709</v>
      </c>
      <c r="BF54" s="1">
        <f>(BE54*$C$18-CL54)/($C$17-$C$18*Y54)</f>
        <v>95.698975165357865</v>
      </c>
      <c r="BG54" s="1">
        <f>(BF54*$C$18-CM54)/($C$17-$C$18*Z54)</f>
        <v>92.024591493690863</v>
      </c>
      <c r="BH54" s="1">
        <f>(BG54*$C$18-CN54)/($C$17-$C$18*AA54)</f>
        <v>88.453056967473856</v>
      </c>
      <c r="BI54" s="1">
        <f>(BH54*$C$18-CO54)/($C$17-$C$18*AB54)</f>
        <v>84.977311811400185</v>
      </c>
      <c r="BJ54" s="1">
        <f>(BI54*$C$18-CP54)/($C$17-$C$18*AC54)</f>
        <v>81.589174632617556</v>
      </c>
      <c r="BK54" s="1">
        <f>(BJ54*$C$18-CQ54)/($C$17-$C$18*AD54)</f>
        <v>78.279438401448843</v>
      </c>
      <c r="BL54" s="1">
        <f>(BK54*$C$18-CR54)/($C$17-$C$18*AE54)</f>
        <v>75.037978387256231</v>
      </c>
      <c r="BM54" s="1">
        <f>(BL54*$C$18-CS54)/($C$17-$C$18*AF54)</f>
        <v>71.853870784380831</v>
      </c>
      <c r="BN54" s="1">
        <f>(BM54*$C$18-CT54)/($C$17-$C$18*AG54)</f>
        <v>68.715520640990164</v>
      </c>
      <c r="BO54" s="1">
        <f>(BN54*$C$18-CU54)/($C$17-$C$18*AH54)</f>
        <v>65.610797597661687</v>
      </c>
      <c r="BP54" s="1">
        <f>(BO54*$C$18-CV54)/($C$17-$C$18*AI54)</f>
        <v>62.527177853718776</v>
      </c>
      <c r="BQ54" s="2"/>
      <c r="BR54" s="2"/>
      <c r="BS54" s="1">
        <f>-$C$10*$C$9*G21/$C$7</f>
        <v>-1076400000</v>
      </c>
      <c r="BT54" s="1">
        <f>-$C$10*$C$9*H21/$C$7</f>
        <v>-1045109385.7533029</v>
      </c>
      <c r="BU54" s="1">
        <f>-$C$10*$C$9*I21/$C$7</f>
        <v>-1013895556.5475096</v>
      </c>
      <c r="BV54" s="1">
        <f>-$C$10*$C$9*J21/$C$7</f>
        <v>-982834395.24029708</v>
      </c>
      <c r="BW54" s="1">
        <f>-$C$10*$C$9*K21/$C$7</f>
        <v>-951999990.9912945</v>
      </c>
      <c r="BX54" s="1">
        <f>-$C$10*$C$9*L21/$C$7</f>
        <v>-921463768.95472705</v>
      </c>
      <c r="BY54" s="1">
        <f>-$C$10*$C$9*M21/$C$7</f>
        <v>-891293651.46163321</v>
      </c>
      <c r="BZ54" s="1">
        <f>-$C$10*$C$9*N21/$C$7</f>
        <v>-861553260.5925678</v>
      </c>
      <c r="CA54" s="1">
        <f>-$C$10*$C$9*O21/$C$7</f>
        <v>-832301171.5413425</v>
      </c>
      <c r="CB54" s="1">
        <f>-$C$10*$C$9*P21/$C$7</f>
        <v>-803590225.55734742</v>
      </c>
      <c r="CC54" s="1">
        <f>-$C$10*$C$9*Q21/$C$7</f>
        <v>-775466910.53640938</v>
      </c>
      <c r="CD54" s="1">
        <f>-$C$10*$C$9*R21/$C$7</f>
        <v>-747970816.51721489</v>
      </c>
      <c r="CE54" s="1">
        <f>-$C$10*$C$9*S21/$C$7</f>
        <v>-721134172.44258165</v>
      </c>
      <c r="CF54" s="1">
        <f>-$C$10*$C$9*T21/$C$7</f>
        <v>-694981469.57368302</v>
      </c>
      <c r="CG54" s="1">
        <f>-$C$10*$C$9*U21/$C$7</f>
        <v>-669529175.91300058</v>
      </c>
      <c r="CH54" s="1">
        <f>-$C$10*$C$9*V21/$C$7</f>
        <v>-644785544.91116488</v>
      </c>
      <c r="CI54" s="1">
        <f>-$C$10*$C$9*W21/$C$7</f>
        <v>-620750520.61722052</v>
      </c>
      <c r="CJ54" s="1">
        <f>-$C$10*$C$9*X21/$C$7</f>
        <v>-597415740.29483116</v>
      </c>
      <c r="CK54" s="1">
        <f>-$C$10*$C$9*Y21/$C$7</f>
        <v>-574764634.38209128</v>
      </c>
      <c r="CL54" s="1">
        <f>-$C$10*$C$9*Z21/$C$7</f>
        <v>-552772622.53349316</v>
      </c>
      <c r="CM54" s="1">
        <f>-$C$10*$C$9*AA21/$C$7</f>
        <v>-531407403.3624565</v>
      </c>
      <c r="CN54" s="1">
        <f>-$C$10*$C$9*AB21/$C$7</f>
        <v>-510629334.41449511</v>
      </c>
      <c r="CO54" s="1">
        <f>-$C$10*$C$9*AC21/$C$7</f>
        <v>-490391897.85685062</v>
      </c>
      <c r="CP54" s="1">
        <f>-$C$10*$C$9*AD21/$C$7</f>
        <v>-470642246.38188481</v>
      </c>
      <c r="CQ54" s="1">
        <f>-$C$10*$C$9*AE21/$C$7</f>
        <v>-451321822.89950132</v>
      </c>
      <c r="CR54" s="1">
        <f>-$C$10*$C$9*AF21/$C$7</f>
        <v>-432367046.74831128</v>
      </c>
      <c r="CS54" s="1">
        <f>-$C$10*$C$9*AG21/$C$7</f>
        <v>-413710058.39518183</v>
      </c>
      <c r="CT54" s="1">
        <f>-$C$10*$C$9*AH21/$C$7</f>
        <v>-395279513.92616975</v>
      </c>
      <c r="CU54" s="1">
        <f>-$C$10*$C$9*AI21/$C$7</f>
        <v>-377001420.06560153</v>
      </c>
      <c r="CV54" s="1">
        <f>-$C$10*$C$9*AJ21/$C$7</f>
        <v>-358800000</v>
      </c>
      <c r="CW54" s="2"/>
      <c r="CX54" s="2"/>
      <c r="CY54" s="1">
        <f>G21</f>
        <v>300</v>
      </c>
      <c r="CZ54" s="1">
        <f t="shared" si="3"/>
        <v>291.30187853019197</v>
      </c>
      <c r="DA54" s="1">
        <f t="shared" si="4"/>
        <v>282.62488987665506</v>
      </c>
      <c r="DB54" s="1">
        <f t="shared" si="5"/>
        <v>273.98991857563033</v>
      </c>
      <c r="DC54" s="1">
        <f t="shared" si="6"/>
        <v>265.4173555383353</v>
      </c>
      <c r="DD54" s="1">
        <f t="shared" si="7"/>
        <v>256.92685854049961</v>
      </c>
      <c r="DE54" s="1">
        <f t="shared" si="8"/>
        <v>248.53712137531278</v>
      </c>
      <c r="DF54" s="1">
        <f t="shared" si="9"/>
        <v>240.26565439391061</v>
      </c>
      <c r="DG54" s="1">
        <f t="shared" si="10"/>
        <v>232.12857902001085</v>
      </c>
      <c r="DH54" s="1">
        <f t="shared" si="11"/>
        <v>224.14043865682714</v>
      </c>
      <c r="DI54" s="1">
        <f t="shared" si="12"/>
        <v>216.31402820713888</v>
      </c>
      <c r="DJ54" s="1">
        <f t="shared" si="13"/>
        <v>208.66024420391835</v>
      </c>
      <c r="DK54" s="1">
        <f t="shared" si="14"/>
        <v>201.18795730208953</v>
      </c>
      <c r="DL54" s="1">
        <f t="shared" si="15"/>
        <v>193.90390861494188</v>
      </c>
      <c r="DM54" s="1">
        <f t="shared" si="16"/>
        <v>186.81263109481293</v>
      </c>
      <c r="DN54" s="1">
        <f t="shared" si="17"/>
        <v>179.91639686041736</v>
      </c>
      <c r="DO54" s="1">
        <f t="shared" si="18"/>
        <v>173.21519106628773</v>
      </c>
      <c r="DP54" s="1">
        <f t="shared" si="19"/>
        <v>166.70671259693188</v>
      </c>
      <c r="DQ54" s="1">
        <f t="shared" si="20"/>
        <v>160.38640155324947</v>
      </c>
      <c r="DR54" s="1">
        <f t="shared" si="21"/>
        <v>154.24749318520375</v>
      </c>
      <c r="DS54" s="1">
        <f t="shared" si="22"/>
        <v>148.28109761636654</v>
      </c>
      <c r="DT54" s="1">
        <f t="shared" si="23"/>
        <v>142.47630440628092</v>
      </c>
      <c r="DU54" s="1">
        <f t="shared" si="24"/>
        <v>136.82031070900115</v>
      </c>
      <c r="DV54" s="1">
        <f t="shared" si="25"/>
        <v>131.29857151387861</v>
      </c>
      <c r="DW54" s="1">
        <f t="shared" si="26"/>
        <v>125.89497020065437</v>
      </c>
      <c r="DX54" s="1">
        <f t="shared" si="27"/>
        <v>120.59200740794057</v>
      </c>
      <c r="DY54" s="1">
        <f t="shared" si="28"/>
        <v>115.37100600471635</v>
      </c>
      <c r="DZ54" s="1">
        <f t="shared" si="29"/>
        <v>110.21232977073697</v>
      </c>
      <c r="EA54" s="1">
        <f t="shared" si="30"/>
        <v>105.0956132356757</v>
      </c>
      <c r="EB54" s="1">
        <f>AJ21</f>
        <v>100</v>
      </c>
    </row>
    <row r="55" spans="4:132">
      <c r="D55" s="3"/>
      <c r="E55" s="3"/>
      <c r="F55" s="1">
        <v>10</v>
      </c>
      <c r="G55" s="1">
        <f>0</f>
        <v>0</v>
      </c>
      <c r="H55" s="1">
        <f>$C$16/($C$17-$C$18*G55)</f>
        <v>0.3415922014622258</v>
      </c>
      <c r="I55" s="1">
        <f>$C$16/($C$17-$C$18*H55)</f>
        <v>0.3867162803971414</v>
      </c>
      <c r="J55" s="1">
        <f>$C$16/($C$17-$C$18*I55)</f>
        <v>0.39358441341045353</v>
      </c>
      <c r="K55" s="1">
        <f>$C$16/($C$17-$C$18*J55)</f>
        <v>0.39465123071155611</v>
      </c>
      <c r="L55" s="1">
        <f>$C$16/($C$17-$C$18*K55)</f>
        <v>0.39481745705771337</v>
      </c>
      <c r="M55" s="1">
        <f>$C$16/($C$17-$C$18*L55)</f>
        <v>0.39484337025824801</v>
      </c>
      <c r="N55" s="1">
        <f>$C$16/($C$17-$C$18*M55)</f>
        <v>0.39484741020089792</v>
      </c>
      <c r="O55" s="1">
        <f>$C$16/($C$17-$C$18*N55)</f>
        <v>0.39484804004704999</v>
      </c>
      <c r="P55" s="1">
        <f>$C$16/($C$17-$C$18*O55)</f>
        <v>0.39484813824322279</v>
      </c>
      <c r="Q55" s="1">
        <f>$C$16/($C$17-$C$18*P55)</f>
        <v>0.39484815355250286</v>
      </c>
      <c r="R55" s="1">
        <f>$C$16/($C$17-$C$18*Q55)</f>
        <v>0.39484815593929717</v>
      </c>
      <c r="S55" s="1">
        <f>$C$16/($C$17-$C$18*R55)</f>
        <v>0.39484815631141046</v>
      </c>
      <c r="T55" s="1">
        <f>$C$16/($C$17-$C$18*S55)</f>
        <v>0.39484815636942483</v>
      </c>
      <c r="U55" s="1">
        <f>$C$16/($C$17-$C$18*T55)</f>
        <v>0.39484815637846954</v>
      </c>
      <c r="V55" s="1">
        <f>$C$16/($C$17-$C$18*U55)</f>
        <v>0.39484815637987963</v>
      </c>
      <c r="W55" s="1">
        <f>$C$16/($C$17-$C$18*V55)</f>
        <v>0.39484815638009951</v>
      </c>
      <c r="X55" s="1">
        <f>$C$16/($C$17-$C$18*W55)</f>
        <v>0.39484815638013382</v>
      </c>
      <c r="Y55" s="1">
        <f>$C$16/($C$17-$C$18*X55)</f>
        <v>0.39484815638013915</v>
      </c>
      <c r="Z55" s="1">
        <f>$C$16/($C$17-$C$18*Y55)</f>
        <v>0.39484815638013998</v>
      </c>
      <c r="AA55" s="1">
        <f>$C$16/($C$17-$C$18*Z55)</f>
        <v>0.39484815638014015</v>
      </c>
      <c r="AB55" s="1">
        <f>$C$16/($C$17-$C$18*AA55)</f>
        <v>0.39484815638014015</v>
      </c>
      <c r="AC55" s="1">
        <f>$C$16/($C$17-$C$18*AB55)</f>
        <v>0.39484815638014015</v>
      </c>
      <c r="AD55" s="1">
        <f>$C$16/($C$17-$C$18*AC55)</f>
        <v>0.39484815638014015</v>
      </c>
      <c r="AE55" s="1">
        <f>$C$16/($C$17-$C$18*AD55)</f>
        <v>0.39484815638014015</v>
      </c>
      <c r="AF55" s="1">
        <f>$C$16/($C$17-$C$18*AE55)</f>
        <v>0.39484815638014015</v>
      </c>
      <c r="AG55" s="1">
        <f>$C$16/($C$17-$C$18*AF55)</f>
        <v>0.39484815638014015</v>
      </c>
      <c r="AH55" s="1">
        <f>$C$16/($C$17-$C$18*AG55)</f>
        <v>0.39484815638014015</v>
      </c>
      <c r="AI55" s="1">
        <f>$C$16/($C$17-$C$18*AH55)</f>
        <v>0.39484815638014015</v>
      </c>
      <c r="AJ55" s="1">
        <f>$C$16/($C$17-$C$18*AI55)</f>
        <v>0.39484815638014015</v>
      </c>
      <c r="AK55" s="2"/>
      <c r="AL55" s="2"/>
      <c r="AM55" s="1">
        <f>G22</f>
        <v>300</v>
      </c>
      <c r="AN55" s="1">
        <f>(AM55*$C$18-BT55)/($C$17-$C$18*G55)</f>
        <v>194.75942020920627</v>
      </c>
      <c r="AO55" s="1">
        <f>(AN55*$C$18-BU55)/($C$17-$C$18*H55)</f>
        <v>176.66852769877164</v>
      </c>
      <c r="AP55" s="1">
        <f>(AO55*$C$18-BV55)/($C$17-$C$18*I55)</f>
        <v>169.52578438712084</v>
      </c>
      <c r="AQ55" s="1">
        <f>(AP55*$C$18-BW55)/($C$17-$C$18*J55)</f>
        <v>164.02085461247324</v>
      </c>
      <c r="AR55" s="1">
        <f>(AQ55*$C$18-BX55)/($C$17-$C$18*K55)</f>
        <v>158.80006429465436</v>
      </c>
      <c r="AS55" s="1">
        <f>(AR55*$C$18-BY55)/($C$17-$C$18*L55)</f>
        <v>153.66982063711768</v>
      </c>
      <c r="AT55" s="1">
        <f>(AS55*$C$18-BZ55)/($C$17-$C$18*M55)</f>
        <v>148.61028613424486</v>
      </c>
      <c r="AU55" s="1">
        <f>(AT55*$C$18-CA55)/($C$17-$C$18*N55)</f>
        <v>143.62716612107661</v>
      </c>
      <c r="AV55" s="1">
        <f>(AU55*$C$18-CB55)/($C$17-$C$18*O55)</f>
        <v>138.72924734334637</v>
      </c>
      <c r="AW55" s="1">
        <f>(AV55*$C$18-CC55)/($C$17-$C$18*P55)</f>
        <v>133.92491606340738</v>
      </c>
      <c r="AX55" s="1">
        <f>(AW55*$C$18-CD55)/($C$17-$C$18*Q55)</f>
        <v>129.22155026599424</v>
      </c>
      <c r="AY55" s="1">
        <f>(AX55*$C$18-CE55)/($C$17-$C$18*R55)</f>
        <v>124.6253564839035</v>
      </c>
      <c r="AZ55" s="1">
        <f>(AY55*$C$18-CF55)/($C$17-$C$18*S55)</f>
        <v>120.14128564063351</v>
      </c>
      <c r="BA55" s="1">
        <f>(AZ55*$C$18-CG55)/($C$17-$C$18*T55)</f>
        <v>115.77297349222006</v>
      </c>
      <c r="BB55" s="1">
        <f>(BA55*$C$18-CH55)/($C$17-$C$18*U55)</f>
        <v>111.52269801090505</v>
      </c>
      <c r="BC55" s="1">
        <f>(BB55*$C$18-CI55)/($C$17-$C$18*V55)</f>
        <v>107.39135294120206</v>
      </c>
      <c r="BD55" s="1">
        <f>(BC55*$C$18-CJ55)/($C$17-$C$18*W55)</f>
        <v>103.37843763518748</v>
      </c>
      <c r="BE55" s="1">
        <f>(BD55*$C$18-CK55)/($C$17-$C$18*X55)</f>
        <v>99.482063242813709</v>
      </c>
      <c r="BF55" s="1">
        <f>(BE55*$C$18-CL55)/($C$17-$C$18*Y55)</f>
        <v>95.698975165357865</v>
      </c>
      <c r="BG55" s="1">
        <f>(BF55*$C$18-CM55)/($C$17-$C$18*Z55)</f>
        <v>92.024591493690863</v>
      </c>
      <c r="BH55" s="1">
        <f>(BG55*$C$18-CN55)/($C$17-$C$18*AA55)</f>
        <v>88.453056967473856</v>
      </c>
      <c r="BI55" s="1">
        <f>(BH55*$C$18-CO55)/($C$17-$C$18*AB55)</f>
        <v>84.977311811400185</v>
      </c>
      <c r="BJ55" s="1">
        <f>(BI55*$C$18-CP55)/($C$17-$C$18*AC55)</f>
        <v>81.589174632617556</v>
      </c>
      <c r="BK55" s="1">
        <f>(BJ55*$C$18-CQ55)/($C$17-$C$18*AD55)</f>
        <v>78.279438401448843</v>
      </c>
      <c r="BL55" s="1">
        <f>(BK55*$C$18-CR55)/($C$17-$C$18*AE55)</f>
        <v>75.037978387256231</v>
      </c>
      <c r="BM55" s="1">
        <f>(BL55*$C$18-CS55)/($C$17-$C$18*AF55)</f>
        <v>71.853870784380817</v>
      </c>
      <c r="BN55" s="1">
        <f>(BM55*$C$18-CT55)/($C$17-$C$18*AG55)</f>
        <v>68.715520640990164</v>
      </c>
      <c r="BO55" s="1">
        <f>(BN55*$C$18-CU55)/($C$17-$C$18*AH55)</f>
        <v>65.610797597661687</v>
      </c>
      <c r="BP55" s="1">
        <f>(BO55*$C$18-CV55)/($C$17-$C$18*AI55)</f>
        <v>62.527177853718776</v>
      </c>
      <c r="BQ55" s="2"/>
      <c r="BR55" s="2"/>
      <c r="BS55" s="1">
        <f>-$C$10*$C$9*G22/$C$7</f>
        <v>-1076400000</v>
      </c>
      <c r="BT55" s="1">
        <f>-$C$10*$C$9*H22/$C$7</f>
        <v>-1045109385.7533029</v>
      </c>
      <c r="BU55" s="1">
        <f>-$C$10*$C$9*I22/$C$7</f>
        <v>-1013895556.5475096</v>
      </c>
      <c r="BV55" s="1">
        <f>-$C$10*$C$9*J22/$C$7</f>
        <v>-982834395.24029708</v>
      </c>
      <c r="BW55" s="1">
        <f>-$C$10*$C$9*K22/$C$7</f>
        <v>-951999990.9912945</v>
      </c>
      <c r="BX55" s="1">
        <f>-$C$10*$C$9*L22/$C$7</f>
        <v>-921463768.95472705</v>
      </c>
      <c r="BY55" s="1">
        <f>-$C$10*$C$9*M22/$C$7</f>
        <v>-891293651.46163309</v>
      </c>
      <c r="BZ55" s="1">
        <f>-$C$10*$C$9*N22/$C$7</f>
        <v>-861553260.5925678</v>
      </c>
      <c r="CA55" s="1">
        <f>-$C$10*$C$9*O22/$C$7</f>
        <v>-832301171.5413425</v>
      </c>
      <c r="CB55" s="1">
        <f>-$C$10*$C$9*P22/$C$7</f>
        <v>-803590225.55734742</v>
      </c>
      <c r="CC55" s="1">
        <f>-$C$10*$C$9*Q22/$C$7</f>
        <v>-775466910.53640926</v>
      </c>
      <c r="CD55" s="1">
        <f>-$C$10*$C$9*R22/$C$7</f>
        <v>-747970816.51721478</v>
      </c>
      <c r="CE55" s="1">
        <f>-$C$10*$C$9*S22/$C$7</f>
        <v>-721134172.44258165</v>
      </c>
      <c r="CF55" s="1">
        <f>-$C$10*$C$9*T22/$C$7</f>
        <v>-694981469.5736829</v>
      </c>
      <c r="CG55" s="1">
        <f>-$C$10*$C$9*U22/$C$7</f>
        <v>-669529175.91300058</v>
      </c>
      <c r="CH55" s="1">
        <f>-$C$10*$C$9*V22/$C$7</f>
        <v>-644785544.91116476</v>
      </c>
      <c r="CI55" s="1">
        <f>-$C$10*$C$9*W22/$C$7</f>
        <v>-620750520.6172204</v>
      </c>
      <c r="CJ55" s="1">
        <f>-$C$10*$C$9*X22/$C$7</f>
        <v>-597415740.29483116</v>
      </c>
      <c r="CK55" s="1">
        <f>-$C$10*$C$9*Y22/$C$7</f>
        <v>-574764634.38209128</v>
      </c>
      <c r="CL55" s="1">
        <f>-$C$10*$C$9*Z22/$C$7</f>
        <v>-552772622.53349316</v>
      </c>
      <c r="CM55" s="1">
        <f>-$C$10*$C$9*AA22/$C$7</f>
        <v>-531407403.3624565</v>
      </c>
      <c r="CN55" s="1">
        <f>-$C$10*$C$9*AB22/$C$7</f>
        <v>-510629334.41449511</v>
      </c>
      <c r="CO55" s="1">
        <f>-$C$10*$C$9*AC22/$C$7</f>
        <v>-490391897.85685062</v>
      </c>
      <c r="CP55" s="1">
        <f>-$C$10*$C$9*AD22/$C$7</f>
        <v>-470642246.38188481</v>
      </c>
      <c r="CQ55" s="1">
        <f>-$C$10*$C$9*AE22/$C$7</f>
        <v>-451321822.89950132</v>
      </c>
      <c r="CR55" s="1">
        <f>-$C$10*$C$9*AF22/$C$7</f>
        <v>-432367046.74831128</v>
      </c>
      <c r="CS55" s="1">
        <f>-$C$10*$C$9*AG22/$C$7</f>
        <v>-413710058.39518172</v>
      </c>
      <c r="CT55" s="1">
        <f>-$C$10*$C$9*AH22/$C$7</f>
        <v>-395279513.92616975</v>
      </c>
      <c r="CU55" s="1">
        <f>-$C$10*$C$9*AI22/$C$7</f>
        <v>-377001420.06560153</v>
      </c>
      <c r="CV55" s="1">
        <f>-$C$10*$C$9*AJ22/$C$7</f>
        <v>-358800000</v>
      </c>
      <c r="CW55" s="2"/>
      <c r="CX55" s="2"/>
      <c r="CY55" s="1">
        <f>G22</f>
        <v>300</v>
      </c>
      <c r="CZ55" s="1">
        <f t="shared" si="3"/>
        <v>291.30187853019197</v>
      </c>
      <c r="DA55" s="1">
        <f t="shared" si="4"/>
        <v>282.62488987665506</v>
      </c>
      <c r="DB55" s="1">
        <f t="shared" si="5"/>
        <v>273.98991857563033</v>
      </c>
      <c r="DC55" s="1">
        <f t="shared" si="6"/>
        <v>265.4173555383353</v>
      </c>
      <c r="DD55" s="1">
        <f t="shared" si="7"/>
        <v>256.92685854049961</v>
      </c>
      <c r="DE55" s="1">
        <f t="shared" si="8"/>
        <v>248.53712137531278</v>
      </c>
      <c r="DF55" s="1">
        <f t="shared" si="9"/>
        <v>240.26565439391061</v>
      </c>
      <c r="DG55" s="1">
        <f t="shared" si="10"/>
        <v>232.12857902001085</v>
      </c>
      <c r="DH55" s="1">
        <f t="shared" si="11"/>
        <v>224.14043865682714</v>
      </c>
      <c r="DI55" s="1">
        <f t="shared" si="12"/>
        <v>216.31402820713888</v>
      </c>
      <c r="DJ55" s="1">
        <f t="shared" si="13"/>
        <v>208.66024420391835</v>
      </c>
      <c r="DK55" s="1">
        <f t="shared" si="14"/>
        <v>201.18795730208953</v>
      </c>
      <c r="DL55" s="1">
        <f t="shared" si="15"/>
        <v>193.90390861494188</v>
      </c>
      <c r="DM55" s="1">
        <f t="shared" si="16"/>
        <v>186.81263109481293</v>
      </c>
      <c r="DN55" s="1">
        <f t="shared" si="17"/>
        <v>179.91639686041736</v>
      </c>
      <c r="DO55" s="1">
        <f t="shared" si="18"/>
        <v>173.21519106628773</v>
      </c>
      <c r="DP55" s="1">
        <f t="shared" si="19"/>
        <v>166.70671259693188</v>
      </c>
      <c r="DQ55" s="1">
        <f t="shared" si="20"/>
        <v>160.38640155324947</v>
      </c>
      <c r="DR55" s="1">
        <f t="shared" si="21"/>
        <v>154.24749318520375</v>
      </c>
      <c r="DS55" s="1">
        <f t="shared" si="22"/>
        <v>148.28109761636654</v>
      </c>
      <c r="DT55" s="1">
        <f t="shared" si="23"/>
        <v>142.47630440628092</v>
      </c>
      <c r="DU55" s="1">
        <f t="shared" si="24"/>
        <v>136.82031070900115</v>
      </c>
      <c r="DV55" s="1">
        <f t="shared" si="25"/>
        <v>131.29857151387861</v>
      </c>
      <c r="DW55" s="1">
        <f t="shared" si="26"/>
        <v>125.89497020065437</v>
      </c>
      <c r="DX55" s="1">
        <f t="shared" si="27"/>
        <v>120.59200740794057</v>
      </c>
      <c r="DY55" s="1">
        <f t="shared" si="28"/>
        <v>115.37100600471635</v>
      </c>
      <c r="DZ55" s="1">
        <f t="shared" si="29"/>
        <v>110.21232977073697</v>
      </c>
      <c r="EA55" s="1">
        <f t="shared" si="30"/>
        <v>105.0956132356757</v>
      </c>
      <c r="EB55" s="1">
        <f>AJ22</f>
        <v>100</v>
      </c>
    </row>
    <row r="56" spans="4:132">
      <c r="D56" s="3"/>
      <c r="E56" s="3"/>
      <c r="F56" s="1">
        <v>9</v>
      </c>
      <c r="G56" s="1">
        <f>0</f>
        <v>0</v>
      </c>
      <c r="H56" s="1">
        <f>$C$16/($C$17-$C$18*G56)</f>
        <v>0.3415922014622258</v>
      </c>
      <c r="I56" s="1">
        <f>$C$16/($C$17-$C$18*H56)</f>
        <v>0.3867162803971414</v>
      </c>
      <c r="J56" s="1">
        <f>$C$16/($C$17-$C$18*I56)</f>
        <v>0.39358441341045353</v>
      </c>
      <c r="K56" s="1">
        <f>$C$16/($C$17-$C$18*J56)</f>
        <v>0.39465123071155611</v>
      </c>
      <c r="L56" s="1">
        <f>$C$16/($C$17-$C$18*K56)</f>
        <v>0.39481745705771337</v>
      </c>
      <c r="M56" s="1">
        <f>$C$16/($C$17-$C$18*L56)</f>
        <v>0.39484337025824801</v>
      </c>
      <c r="N56" s="1">
        <f>$C$16/($C$17-$C$18*M56)</f>
        <v>0.39484741020089792</v>
      </c>
      <c r="O56" s="1">
        <f>$C$16/($C$17-$C$18*N56)</f>
        <v>0.39484804004704999</v>
      </c>
      <c r="P56" s="1">
        <f>$C$16/($C$17-$C$18*O56)</f>
        <v>0.39484813824322279</v>
      </c>
      <c r="Q56" s="1">
        <f>$C$16/($C$17-$C$18*P56)</f>
        <v>0.39484815355250286</v>
      </c>
      <c r="R56" s="1">
        <f>$C$16/($C$17-$C$18*Q56)</f>
        <v>0.39484815593929717</v>
      </c>
      <c r="S56" s="1">
        <f>$C$16/($C$17-$C$18*R56)</f>
        <v>0.39484815631141046</v>
      </c>
      <c r="T56" s="1">
        <f>$C$16/($C$17-$C$18*S56)</f>
        <v>0.39484815636942483</v>
      </c>
      <c r="U56" s="1">
        <f>$C$16/($C$17-$C$18*T56)</f>
        <v>0.39484815637846954</v>
      </c>
      <c r="V56" s="1">
        <f>$C$16/($C$17-$C$18*U56)</f>
        <v>0.39484815637987963</v>
      </c>
      <c r="W56" s="1">
        <f>$C$16/($C$17-$C$18*V56)</f>
        <v>0.39484815638009951</v>
      </c>
      <c r="X56" s="1">
        <f>$C$16/($C$17-$C$18*W56)</f>
        <v>0.39484815638013382</v>
      </c>
      <c r="Y56" s="1">
        <f>$C$16/($C$17-$C$18*X56)</f>
        <v>0.39484815638013915</v>
      </c>
      <c r="Z56" s="1">
        <f>$C$16/($C$17-$C$18*Y56)</f>
        <v>0.39484815638013998</v>
      </c>
      <c r="AA56" s="1">
        <f>$C$16/($C$17-$C$18*Z56)</f>
        <v>0.39484815638014015</v>
      </c>
      <c r="AB56" s="1">
        <f>$C$16/($C$17-$C$18*AA56)</f>
        <v>0.39484815638014015</v>
      </c>
      <c r="AC56" s="1">
        <f>$C$16/($C$17-$C$18*AB56)</f>
        <v>0.39484815638014015</v>
      </c>
      <c r="AD56" s="1">
        <f>$C$16/($C$17-$C$18*AC56)</f>
        <v>0.39484815638014015</v>
      </c>
      <c r="AE56" s="1">
        <f>$C$16/($C$17-$C$18*AD56)</f>
        <v>0.39484815638014015</v>
      </c>
      <c r="AF56" s="1">
        <f>$C$16/($C$17-$C$18*AE56)</f>
        <v>0.39484815638014015</v>
      </c>
      <c r="AG56" s="1">
        <f>$C$16/($C$17-$C$18*AF56)</f>
        <v>0.39484815638014015</v>
      </c>
      <c r="AH56" s="1">
        <f>$C$16/($C$17-$C$18*AG56)</f>
        <v>0.39484815638014015</v>
      </c>
      <c r="AI56" s="1">
        <f>$C$16/($C$17-$C$18*AH56)</f>
        <v>0.39484815638014015</v>
      </c>
      <c r="AJ56" s="1">
        <f>$C$16/($C$17-$C$18*AI56)</f>
        <v>0.39484815638014015</v>
      </c>
      <c r="AK56" s="2"/>
      <c r="AL56" s="2"/>
      <c r="AM56" s="1">
        <f>G23</f>
        <v>300</v>
      </c>
      <c r="AN56" s="1">
        <f>(AM56*$C$18-BT56)/($C$17-$C$18*G56)</f>
        <v>194.75942020920627</v>
      </c>
      <c r="AO56" s="1">
        <f>(AN56*$C$18-BU56)/($C$17-$C$18*H56)</f>
        <v>176.66852769877164</v>
      </c>
      <c r="AP56" s="1">
        <f>(AO56*$C$18-BV56)/($C$17-$C$18*I56)</f>
        <v>169.52578438712084</v>
      </c>
      <c r="AQ56" s="1">
        <f>(AP56*$C$18-BW56)/($C$17-$C$18*J56)</f>
        <v>164.02085461247319</v>
      </c>
      <c r="AR56" s="1">
        <f>(AQ56*$C$18-BX56)/($C$17-$C$18*K56)</f>
        <v>158.80006429465431</v>
      </c>
      <c r="AS56" s="1">
        <f>(AR56*$C$18-BY56)/($C$17-$C$18*L56)</f>
        <v>153.66982063711762</v>
      </c>
      <c r="AT56" s="1">
        <f>(AS56*$C$18-BZ56)/($C$17-$C$18*M56)</f>
        <v>148.61028613424483</v>
      </c>
      <c r="AU56" s="1">
        <f>(AT56*$C$18-CA56)/($C$17-$C$18*N56)</f>
        <v>143.62716612107658</v>
      </c>
      <c r="AV56" s="1">
        <f>(AU56*$C$18-CB56)/($C$17-$C$18*O56)</f>
        <v>138.72924734334634</v>
      </c>
      <c r="AW56" s="1">
        <f>(AV56*$C$18-CC56)/($C$17-$C$18*P56)</f>
        <v>133.92491606340735</v>
      </c>
      <c r="AX56" s="1">
        <f>(AW56*$C$18-CD56)/($C$17-$C$18*Q56)</f>
        <v>129.22155026599418</v>
      </c>
      <c r="AY56" s="1">
        <f>(AX56*$C$18-CE56)/($C$17-$C$18*R56)</f>
        <v>124.62535648390345</v>
      </c>
      <c r="AZ56" s="1">
        <f>(AY56*$C$18-CF56)/($C$17-$C$18*S56)</f>
        <v>120.14128564063346</v>
      </c>
      <c r="BA56" s="1">
        <f>(AZ56*$C$18-CG56)/($C$17-$C$18*T56)</f>
        <v>115.77297349222</v>
      </c>
      <c r="BB56" s="1">
        <f>(BA56*$C$18-CH56)/($C$17-$C$18*U56)</f>
        <v>111.52269801090502</v>
      </c>
      <c r="BC56" s="1">
        <f>(BB56*$C$18-CI56)/($C$17-$C$18*V56)</f>
        <v>107.39135294120203</v>
      </c>
      <c r="BD56" s="1">
        <f>(BC56*$C$18-CJ56)/($C$17-$C$18*W56)</f>
        <v>103.37843763518744</v>
      </c>
      <c r="BE56" s="1">
        <f>(BD56*$C$18-CK56)/($C$17-$C$18*X56)</f>
        <v>99.48206324281368</v>
      </c>
      <c r="BF56" s="1">
        <f>(BE56*$C$18-CL56)/($C$17-$C$18*Y56)</f>
        <v>95.698975165357837</v>
      </c>
      <c r="BG56" s="1">
        <f>(BF56*$C$18-CM56)/($C$17-$C$18*Z56)</f>
        <v>92.024591493690863</v>
      </c>
      <c r="BH56" s="1">
        <f>(BG56*$C$18-CN56)/($C$17-$C$18*AA56)</f>
        <v>88.453056967473856</v>
      </c>
      <c r="BI56" s="1">
        <f>(BH56*$C$18-CO56)/($C$17-$C$18*AB56)</f>
        <v>84.977311811400185</v>
      </c>
      <c r="BJ56" s="1">
        <f>(BI56*$C$18-CP56)/($C$17-$C$18*AC56)</f>
        <v>81.589174632617556</v>
      </c>
      <c r="BK56" s="1">
        <f>(BJ56*$C$18-CQ56)/($C$17-$C$18*AD56)</f>
        <v>78.279438401448843</v>
      </c>
      <c r="BL56" s="1">
        <f>(BK56*$C$18-CR56)/($C$17-$C$18*AE56)</f>
        <v>75.037978387256231</v>
      </c>
      <c r="BM56" s="1">
        <f>(BL56*$C$18-CS56)/($C$17-$C$18*AF56)</f>
        <v>71.853870784380817</v>
      </c>
      <c r="BN56" s="1">
        <f>(BM56*$C$18-CT56)/($C$17-$C$18*AG56)</f>
        <v>68.715520640990164</v>
      </c>
      <c r="BO56" s="1">
        <f>(BN56*$C$18-CU56)/($C$17-$C$18*AH56)</f>
        <v>65.610797597661687</v>
      </c>
      <c r="BP56" s="1">
        <f>(BO56*$C$18-CV56)/($C$17-$C$18*AI56)</f>
        <v>62.527177853718776</v>
      </c>
      <c r="BQ56" s="2"/>
      <c r="BR56" s="2"/>
      <c r="BS56" s="1">
        <f>-$C$10*$C$9*G23/$C$7</f>
        <v>-1076400000</v>
      </c>
      <c r="BT56" s="1">
        <f>-$C$10*$C$9*H23/$C$7</f>
        <v>-1045109385.7533029</v>
      </c>
      <c r="BU56" s="1">
        <f>-$C$10*$C$9*I23/$C$7</f>
        <v>-1013895556.5475094</v>
      </c>
      <c r="BV56" s="1">
        <f>-$C$10*$C$9*J23/$C$7</f>
        <v>-982834395.24029708</v>
      </c>
      <c r="BW56" s="1">
        <f>-$C$10*$C$9*K23/$C$7</f>
        <v>-951999990.99129426</v>
      </c>
      <c r="BX56" s="1">
        <f>-$C$10*$C$9*L23/$C$7</f>
        <v>-921463768.95472705</v>
      </c>
      <c r="BY56" s="1">
        <f>-$C$10*$C$9*M23/$C$7</f>
        <v>-891293651.46163285</v>
      </c>
      <c r="BZ56" s="1">
        <f>-$C$10*$C$9*N23/$C$7</f>
        <v>-861553260.59256768</v>
      </c>
      <c r="CA56" s="1">
        <f>-$C$10*$C$9*O23/$C$7</f>
        <v>-832301171.54134226</v>
      </c>
      <c r="CB56" s="1">
        <f>-$C$10*$C$9*P23/$C$7</f>
        <v>-803590225.5573473</v>
      </c>
      <c r="CC56" s="1">
        <f>-$C$10*$C$9*Q23/$C$7</f>
        <v>-775466910.5364089</v>
      </c>
      <c r="CD56" s="1">
        <f>-$C$10*$C$9*R23/$C$7</f>
        <v>-747970816.51721442</v>
      </c>
      <c r="CE56" s="1">
        <f>-$C$10*$C$9*S23/$C$7</f>
        <v>-721134172.44258142</v>
      </c>
      <c r="CF56" s="1">
        <f>-$C$10*$C$9*T23/$C$7</f>
        <v>-694981469.57368267</v>
      </c>
      <c r="CG56" s="1">
        <f>-$C$10*$C$9*U23/$C$7</f>
        <v>-669529175.91300035</v>
      </c>
      <c r="CH56" s="1">
        <f>-$C$10*$C$9*V23/$C$7</f>
        <v>-644785544.91116476</v>
      </c>
      <c r="CI56" s="1">
        <f>-$C$10*$C$9*W23/$C$7</f>
        <v>-620750520.61722028</v>
      </c>
      <c r="CJ56" s="1">
        <f>-$C$10*$C$9*X23/$C$7</f>
        <v>-597415740.29483092</v>
      </c>
      <c r="CK56" s="1">
        <f>-$C$10*$C$9*Y23/$C$7</f>
        <v>-574764634.38209116</v>
      </c>
      <c r="CL56" s="1">
        <f>-$C$10*$C$9*Z23/$C$7</f>
        <v>-552772622.53349304</v>
      </c>
      <c r="CM56" s="1">
        <f>-$C$10*$C$9*AA23/$C$7</f>
        <v>-531407403.3624565</v>
      </c>
      <c r="CN56" s="1">
        <f>-$C$10*$C$9*AB23/$C$7</f>
        <v>-510629334.41449511</v>
      </c>
      <c r="CO56" s="1">
        <f>-$C$10*$C$9*AC23/$C$7</f>
        <v>-490391897.85685062</v>
      </c>
      <c r="CP56" s="1">
        <f>-$C$10*$C$9*AD23/$C$7</f>
        <v>-470642246.38188481</v>
      </c>
      <c r="CQ56" s="1">
        <f>-$C$10*$C$9*AE23/$C$7</f>
        <v>-451321822.89950126</v>
      </c>
      <c r="CR56" s="1">
        <f>-$C$10*$C$9*AF23/$C$7</f>
        <v>-432367046.74831128</v>
      </c>
      <c r="CS56" s="1">
        <f>-$C$10*$C$9*AG23/$C$7</f>
        <v>-413710058.39518166</v>
      </c>
      <c r="CT56" s="1">
        <f>-$C$10*$C$9*AH23/$C$7</f>
        <v>-395279513.92616969</v>
      </c>
      <c r="CU56" s="1">
        <f>-$C$10*$C$9*AI23/$C$7</f>
        <v>-377001420.06560147</v>
      </c>
      <c r="CV56" s="1">
        <f>-$C$10*$C$9*AJ23/$C$7</f>
        <v>-358800000</v>
      </c>
      <c r="CW56" s="2"/>
      <c r="CX56" s="2"/>
      <c r="CY56" s="1">
        <f>G23</f>
        <v>300</v>
      </c>
      <c r="CZ56" s="1">
        <f t="shared" si="3"/>
        <v>291.30187853019197</v>
      </c>
      <c r="DA56" s="1">
        <f t="shared" si="4"/>
        <v>282.624889876655</v>
      </c>
      <c r="DB56" s="1">
        <f t="shared" si="5"/>
        <v>273.98991857563027</v>
      </c>
      <c r="DC56" s="1">
        <f t="shared" si="6"/>
        <v>265.41735553833519</v>
      </c>
      <c r="DD56" s="1">
        <f t="shared" si="7"/>
        <v>256.92685854049955</v>
      </c>
      <c r="DE56" s="1">
        <f t="shared" si="8"/>
        <v>248.53712137531272</v>
      </c>
      <c r="DF56" s="1">
        <f t="shared" si="9"/>
        <v>240.26565439391058</v>
      </c>
      <c r="DG56" s="1">
        <f t="shared" si="10"/>
        <v>232.12857902001079</v>
      </c>
      <c r="DH56" s="1">
        <f t="shared" si="11"/>
        <v>224.14043865682709</v>
      </c>
      <c r="DI56" s="1">
        <f t="shared" si="12"/>
        <v>216.31402820713879</v>
      </c>
      <c r="DJ56" s="1">
        <f t="shared" si="13"/>
        <v>208.66024420391824</v>
      </c>
      <c r="DK56" s="1">
        <f t="shared" si="14"/>
        <v>201.18795730208944</v>
      </c>
      <c r="DL56" s="1">
        <f t="shared" si="15"/>
        <v>193.9039086149418</v>
      </c>
      <c r="DM56" s="1">
        <f t="shared" si="16"/>
        <v>186.81263109481284</v>
      </c>
      <c r="DN56" s="1">
        <f t="shared" si="17"/>
        <v>179.91639686041731</v>
      </c>
      <c r="DO56" s="1">
        <f t="shared" si="18"/>
        <v>173.21519106628767</v>
      </c>
      <c r="DP56" s="1">
        <f t="shared" si="19"/>
        <v>166.70671259693182</v>
      </c>
      <c r="DQ56" s="1">
        <f t="shared" si="20"/>
        <v>160.38640155324944</v>
      </c>
      <c r="DR56" s="1">
        <f t="shared" si="21"/>
        <v>154.24749318520372</v>
      </c>
      <c r="DS56" s="1">
        <f t="shared" si="22"/>
        <v>148.28109761636654</v>
      </c>
      <c r="DT56" s="1">
        <f t="shared" si="23"/>
        <v>142.47630440628092</v>
      </c>
      <c r="DU56" s="1">
        <f t="shared" si="24"/>
        <v>136.82031070900115</v>
      </c>
      <c r="DV56" s="1">
        <f t="shared" si="25"/>
        <v>131.29857151387861</v>
      </c>
      <c r="DW56" s="1">
        <f t="shared" si="26"/>
        <v>125.89497020065437</v>
      </c>
      <c r="DX56" s="1">
        <f t="shared" si="27"/>
        <v>120.59200740794057</v>
      </c>
      <c r="DY56" s="1">
        <f t="shared" si="28"/>
        <v>115.37100600471635</v>
      </c>
      <c r="DZ56" s="1">
        <f t="shared" si="29"/>
        <v>110.21232977073697</v>
      </c>
      <c r="EA56" s="1">
        <f t="shared" si="30"/>
        <v>105.0956132356757</v>
      </c>
      <c r="EB56" s="1">
        <f>AJ23</f>
        <v>100</v>
      </c>
    </row>
    <row r="57" spans="4:132">
      <c r="D57" s="3"/>
      <c r="E57" s="3"/>
      <c r="F57" s="1">
        <v>8</v>
      </c>
      <c r="G57" s="1">
        <f>0</f>
        <v>0</v>
      </c>
      <c r="H57" s="1">
        <f>$C$16/($C$17-$C$18*G57)</f>
        <v>0.3415922014622258</v>
      </c>
      <c r="I57" s="1">
        <f>$C$16/($C$17-$C$18*H57)</f>
        <v>0.3867162803971414</v>
      </c>
      <c r="J57" s="1">
        <f>$C$16/($C$17-$C$18*I57)</f>
        <v>0.39358441341045353</v>
      </c>
      <c r="K57" s="1">
        <f>$C$16/($C$17-$C$18*J57)</f>
        <v>0.39465123071155611</v>
      </c>
      <c r="L57" s="1">
        <f>$C$16/($C$17-$C$18*K57)</f>
        <v>0.39481745705771337</v>
      </c>
      <c r="M57" s="1">
        <f>$C$16/($C$17-$C$18*L57)</f>
        <v>0.39484337025824801</v>
      </c>
      <c r="N57" s="1">
        <f>$C$16/($C$17-$C$18*M57)</f>
        <v>0.39484741020089792</v>
      </c>
      <c r="O57" s="1">
        <f>$C$16/($C$17-$C$18*N57)</f>
        <v>0.39484804004704999</v>
      </c>
      <c r="P57" s="1">
        <f>$C$16/($C$17-$C$18*O57)</f>
        <v>0.39484813824322279</v>
      </c>
      <c r="Q57" s="1">
        <f>$C$16/($C$17-$C$18*P57)</f>
        <v>0.39484815355250286</v>
      </c>
      <c r="R57" s="1">
        <f>$C$16/($C$17-$C$18*Q57)</f>
        <v>0.39484815593929717</v>
      </c>
      <c r="S57" s="1">
        <f>$C$16/($C$17-$C$18*R57)</f>
        <v>0.39484815631141046</v>
      </c>
      <c r="T57" s="1">
        <f>$C$16/($C$17-$C$18*S57)</f>
        <v>0.39484815636942483</v>
      </c>
      <c r="U57" s="1">
        <f>$C$16/($C$17-$C$18*T57)</f>
        <v>0.39484815637846954</v>
      </c>
      <c r="V57" s="1">
        <f>$C$16/($C$17-$C$18*U57)</f>
        <v>0.39484815637987963</v>
      </c>
      <c r="W57" s="1">
        <f>$C$16/($C$17-$C$18*V57)</f>
        <v>0.39484815638009951</v>
      </c>
      <c r="X57" s="1">
        <f>$C$16/($C$17-$C$18*W57)</f>
        <v>0.39484815638013382</v>
      </c>
      <c r="Y57" s="1">
        <f>$C$16/($C$17-$C$18*X57)</f>
        <v>0.39484815638013915</v>
      </c>
      <c r="Z57" s="1">
        <f>$C$16/($C$17-$C$18*Y57)</f>
        <v>0.39484815638013998</v>
      </c>
      <c r="AA57" s="1">
        <f>$C$16/($C$17-$C$18*Z57)</f>
        <v>0.39484815638014015</v>
      </c>
      <c r="AB57" s="1">
        <f>$C$16/($C$17-$C$18*AA57)</f>
        <v>0.39484815638014015</v>
      </c>
      <c r="AC57" s="1">
        <f>$C$16/($C$17-$C$18*AB57)</f>
        <v>0.39484815638014015</v>
      </c>
      <c r="AD57" s="1">
        <f>$C$16/($C$17-$C$18*AC57)</f>
        <v>0.39484815638014015</v>
      </c>
      <c r="AE57" s="1">
        <f>$C$16/($C$17-$C$18*AD57)</f>
        <v>0.39484815638014015</v>
      </c>
      <c r="AF57" s="1">
        <f>$C$16/($C$17-$C$18*AE57)</f>
        <v>0.39484815638014015</v>
      </c>
      <c r="AG57" s="1">
        <f>$C$16/($C$17-$C$18*AF57)</f>
        <v>0.39484815638014015</v>
      </c>
      <c r="AH57" s="1">
        <f>$C$16/($C$17-$C$18*AG57)</f>
        <v>0.39484815638014015</v>
      </c>
      <c r="AI57" s="1">
        <f>$C$16/($C$17-$C$18*AH57)</f>
        <v>0.39484815638014015</v>
      </c>
      <c r="AJ57" s="1">
        <f>$C$16/($C$17-$C$18*AI57)</f>
        <v>0.39484815638014015</v>
      </c>
      <c r="AK57" s="2"/>
      <c r="AL57" s="2"/>
      <c r="AM57" s="1">
        <f>G24</f>
        <v>300</v>
      </c>
      <c r="AN57" s="1">
        <f>(AM57*$C$18-BT57)/($C$17-$C$18*G57)</f>
        <v>194.75942020920627</v>
      </c>
      <c r="AO57" s="1">
        <f>(AN57*$C$18-BU57)/($C$17-$C$18*H57)</f>
        <v>176.66852769877161</v>
      </c>
      <c r="AP57" s="1">
        <f>(AO57*$C$18-BV57)/($C$17-$C$18*I57)</f>
        <v>169.52578438712084</v>
      </c>
      <c r="AQ57" s="1">
        <f>(AP57*$C$18-BW57)/($C$17-$C$18*J57)</f>
        <v>164.02085461247319</v>
      </c>
      <c r="AR57" s="1">
        <f>(AQ57*$C$18-BX57)/($C$17-$C$18*K57)</f>
        <v>158.80006429465431</v>
      </c>
      <c r="AS57" s="1">
        <f>(AR57*$C$18-BY57)/($C$17-$C$18*L57)</f>
        <v>153.66982063711762</v>
      </c>
      <c r="AT57" s="1">
        <f>(AS57*$C$18-BZ57)/($C$17-$C$18*M57)</f>
        <v>148.61028613424483</v>
      </c>
      <c r="AU57" s="1">
        <f>(AT57*$C$18-CA57)/($C$17-$C$18*N57)</f>
        <v>143.62716612107656</v>
      </c>
      <c r="AV57" s="1">
        <f>(AU57*$C$18-CB57)/($C$17-$C$18*O57)</f>
        <v>138.72924734334632</v>
      </c>
      <c r="AW57" s="1">
        <f>(AV57*$C$18-CC57)/($C$17-$C$18*P57)</f>
        <v>133.9249160634073</v>
      </c>
      <c r="AX57" s="1">
        <f>(AW57*$C$18-CD57)/($C$17-$C$18*Q57)</f>
        <v>129.22155026599415</v>
      </c>
      <c r="AY57" s="1">
        <f>(AX57*$C$18-CE57)/($C$17-$C$18*R57)</f>
        <v>124.62535648390343</v>
      </c>
      <c r="AZ57" s="1">
        <f>(AY57*$C$18-CF57)/($C$17-$C$18*S57)</f>
        <v>120.14128564063344</v>
      </c>
      <c r="BA57" s="1">
        <f>(AZ57*$C$18-CG57)/($C$17-$C$18*T57)</f>
        <v>115.77297349222</v>
      </c>
      <c r="BB57" s="1">
        <f>(BA57*$C$18-CH57)/($C$17-$C$18*U57)</f>
        <v>111.52269801090502</v>
      </c>
      <c r="BC57" s="1">
        <f>(BB57*$C$18-CI57)/($C$17-$C$18*V57)</f>
        <v>107.391352941202</v>
      </c>
      <c r="BD57" s="1">
        <f>(BC57*$C$18-CJ57)/($C$17-$C$18*W57)</f>
        <v>103.37843763518744</v>
      </c>
      <c r="BE57" s="1">
        <f>(BD57*$C$18-CK57)/($C$17-$C$18*X57)</f>
        <v>99.48206324281368</v>
      </c>
      <c r="BF57" s="1">
        <f>(BE57*$C$18-CL57)/($C$17-$C$18*Y57)</f>
        <v>95.698975165357837</v>
      </c>
      <c r="BG57" s="1">
        <f>(BF57*$C$18-CM57)/($C$17-$C$18*Z57)</f>
        <v>92.024591493690835</v>
      </c>
      <c r="BH57" s="1">
        <f>(BG57*$C$18-CN57)/($C$17-$C$18*AA57)</f>
        <v>88.453056967473842</v>
      </c>
      <c r="BI57" s="1">
        <f>(BH57*$C$18-CO57)/($C$17-$C$18*AB57)</f>
        <v>84.97731181140017</v>
      </c>
      <c r="BJ57" s="1">
        <f>(BI57*$C$18-CP57)/($C$17-$C$18*AC57)</f>
        <v>81.589174632617556</v>
      </c>
      <c r="BK57" s="1">
        <f>(BJ57*$C$18-CQ57)/($C$17-$C$18*AD57)</f>
        <v>78.279438401448843</v>
      </c>
      <c r="BL57" s="1">
        <f>(BK57*$C$18-CR57)/($C$17-$C$18*AE57)</f>
        <v>75.037978387256231</v>
      </c>
      <c r="BM57" s="1">
        <f>(BL57*$C$18-CS57)/($C$17-$C$18*AF57)</f>
        <v>71.853870784380817</v>
      </c>
      <c r="BN57" s="1">
        <f>(BM57*$C$18-CT57)/($C$17-$C$18*AG57)</f>
        <v>68.715520640990164</v>
      </c>
      <c r="BO57" s="1">
        <f>(BN57*$C$18-CU57)/($C$17-$C$18*AH57)</f>
        <v>65.610797597661687</v>
      </c>
      <c r="BP57" s="1">
        <f>(BO57*$C$18-CV57)/($C$17-$C$18*AI57)</f>
        <v>62.527177853718776</v>
      </c>
      <c r="BQ57" s="2"/>
      <c r="BR57" s="2"/>
      <c r="BS57" s="1">
        <f>-$C$10*$C$9*G24/$C$7</f>
        <v>-1076400000</v>
      </c>
      <c r="BT57" s="1">
        <f>-$C$10*$C$9*H24/$C$7</f>
        <v>-1045109385.7533029</v>
      </c>
      <c r="BU57" s="1">
        <f>-$C$10*$C$9*I24/$C$7</f>
        <v>-1013895556.5475092</v>
      </c>
      <c r="BV57" s="1">
        <f>-$C$10*$C$9*J24/$C$7</f>
        <v>-982834395.24029696</v>
      </c>
      <c r="BW57" s="1">
        <f>-$C$10*$C$9*K24/$C$7</f>
        <v>-951999990.99129403</v>
      </c>
      <c r="BX57" s="1">
        <f>-$C$10*$C$9*L24/$C$7</f>
        <v>-921463768.95472682</v>
      </c>
      <c r="BY57" s="1">
        <f>-$C$10*$C$9*M24/$C$7</f>
        <v>-891293651.46163261</v>
      </c>
      <c r="BZ57" s="1">
        <f>-$C$10*$C$9*N24/$C$7</f>
        <v>-861553260.59256768</v>
      </c>
      <c r="CA57" s="1">
        <f>-$C$10*$C$9*O24/$C$7</f>
        <v>-832301171.54134214</v>
      </c>
      <c r="CB57" s="1">
        <f>-$C$10*$C$9*P24/$C$7</f>
        <v>-803590225.55734706</v>
      </c>
      <c r="CC57" s="1">
        <f>-$C$10*$C$9*Q24/$C$7</f>
        <v>-775466910.53640866</v>
      </c>
      <c r="CD57" s="1">
        <f>-$C$10*$C$9*R24/$C$7</f>
        <v>-747970816.51721442</v>
      </c>
      <c r="CE57" s="1">
        <f>-$C$10*$C$9*S24/$C$7</f>
        <v>-721134172.4425813</v>
      </c>
      <c r="CF57" s="1">
        <f>-$C$10*$C$9*T24/$C$7</f>
        <v>-694981469.57368255</v>
      </c>
      <c r="CG57" s="1">
        <f>-$C$10*$C$9*U24/$C$7</f>
        <v>-669529175.91300035</v>
      </c>
      <c r="CH57" s="1">
        <f>-$C$10*$C$9*V24/$C$7</f>
        <v>-644785544.91116476</v>
      </c>
      <c r="CI57" s="1">
        <f>-$C$10*$C$9*W24/$C$7</f>
        <v>-620750520.61722004</v>
      </c>
      <c r="CJ57" s="1">
        <f>-$C$10*$C$9*X24/$C$7</f>
        <v>-597415740.29483092</v>
      </c>
      <c r="CK57" s="1">
        <f>-$C$10*$C$9*Y24/$C$7</f>
        <v>-574764634.38209105</v>
      </c>
      <c r="CL57" s="1">
        <f>-$C$10*$C$9*Z24/$C$7</f>
        <v>-552772622.53349292</v>
      </c>
      <c r="CM57" s="1">
        <f>-$C$10*$C$9*AA24/$C$7</f>
        <v>-531407403.36245638</v>
      </c>
      <c r="CN57" s="1">
        <f>-$C$10*$C$9*AB24/$C$7</f>
        <v>-510629334.41449511</v>
      </c>
      <c r="CO57" s="1">
        <f>-$C$10*$C$9*AC24/$C$7</f>
        <v>-490391897.85685062</v>
      </c>
      <c r="CP57" s="1">
        <f>-$C$10*$C$9*AD24/$C$7</f>
        <v>-470642246.38188481</v>
      </c>
      <c r="CQ57" s="1">
        <f>-$C$10*$C$9*AE24/$C$7</f>
        <v>-451321822.89950126</v>
      </c>
      <c r="CR57" s="1">
        <f>-$C$10*$C$9*AF24/$C$7</f>
        <v>-432367046.74831116</v>
      </c>
      <c r="CS57" s="1">
        <f>-$C$10*$C$9*AG24/$C$7</f>
        <v>-413710058.39518166</v>
      </c>
      <c r="CT57" s="1">
        <f>-$C$10*$C$9*AH24/$C$7</f>
        <v>-395279513.92616969</v>
      </c>
      <c r="CU57" s="1">
        <f>-$C$10*$C$9*AI24/$C$7</f>
        <v>-377001420.06560141</v>
      </c>
      <c r="CV57" s="1">
        <f>-$C$10*$C$9*AJ24/$C$7</f>
        <v>-358800000</v>
      </c>
      <c r="CW57" s="2"/>
      <c r="CX57" s="2"/>
      <c r="CY57" s="1">
        <f>G24</f>
        <v>300</v>
      </c>
      <c r="CZ57" s="1">
        <f t="shared" si="3"/>
        <v>291.30187853019197</v>
      </c>
      <c r="DA57" s="1">
        <f t="shared" si="4"/>
        <v>282.624889876655</v>
      </c>
      <c r="DB57" s="1">
        <f t="shared" si="5"/>
        <v>273.98991857563027</v>
      </c>
      <c r="DC57" s="1">
        <f t="shared" si="6"/>
        <v>265.41735553833519</v>
      </c>
      <c r="DD57" s="1">
        <f t="shared" si="7"/>
        <v>256.92685854049955</v>
      </c>
      <c r="DE57" s="1">
        <f t="shared" si="8"/>
        <v>248.53712137531269</v>
      </c>
      <c r="DF57" s="1">
        <f t="shared" si="9"/>
        <v>240.26565439391055</v>
      </c>
      <c r="DG57" s="1">
        <f t="shared" si="10"/>
        <v>232.12857902001076</v>
      </c>
      <c r="DH57" s="1">
        <f t="shared" si="11"/>
        <v>224.14043865682703</v>
      </c>
      <c r="DI57" s="1">
        <f t="shared" si="12"/>
        <v>216.31402820713873</v>
      </c>
      <c r="DJ57" s="1">
        <f t="shared" si="13"/>
        <v>208.66024420391821</v>
      </c>
      <c r="DK57" s="1">
        <f t="shared" si="14"/>
        <v>201.18795730208939</v>
      </c>
      <c r="DL57" s="1">
        <f t="shared" si="15"/>
        <v>193.90390861494177</v>
      </c>
      <c r="DM57" s="1">
        <f t="shared" si="16"/>
        <v>186.81263109481284</v>
      </c>
      <c r="DN57" s="1">
        <f t="shared" si="17"/>
        <v>179.91639686041731</v>
      </c>
      <c r="DO57" s="1">
        <f t="shared" si="18"/>
        <v>173.21519106628764</v>
      </c>
      <c r="DP57" s="1">
        <f t="shared" si="19"/>
        <v>166.70671259693182</v>
      </c>
      <c r="DQ57" s="1">
        <f t="shared" si="20"/>
        <v>160.38640155324944</v>
      </c>
      <c r="DR57" s="1">
        <f t="shared" si="21"/>
        <v>154.24749318520372</v>
      </c>
      <c r="DS57" s="1">
        <f t="shared" si="22"/>
        <v>148.28109761636648</v>
      </c>
      <c r="DT57" s="1">
        <f t="shared" si="23"/>
        <v>142.47630440628089</v>
      </c>
      <c r="DU57" s="1">
        <f t="shared" si="24"/>
        <v>136.82031070900112</v>
      </c>
      <c r="DV57" s="1">
        <f t="shared" si="25"/>
        <v>131.29857151387861</v>
      </c>
      <c r="DW57" s="1">
        <f t="shared" si="26"/>
        <v>125.89497020065437</v>
      </c>
      <c r="DX57" s="1">
        <f t="shared" si="27"/>
        <v>120.59200740794057</v>
      </c>
      <c r="DY57" s="1">
        <f t="shared" si="28"/>
        <v>115.37100600471635</v>
      </c>
      <c r="DZ57" s="1">
        <f t="shared" si="29"/>
        <v>110.21232977073697</v>
      </c>
      <c r="EA57" s="1">
        <f t="shared" si="30"/>
        <v>105.0956132356757</v>
      </c>
      <c r="EB57" s="1">
        <f>AJ24</f>
        <v>100</v>
      </c>
    </row>
    <row r="58" spans="4:132">
      <c r="D58" s="3"/>
      <c r="E58" s="3"/>
      <c r="F58" s="1">
        <v>7</v>
      </c>
      <c r="G58" s="1">
        <f>0</f>
        <v>0</v>
      </c>
      <c r="H58" s="1">
        <f>$C$16/($C$17-$C$18*G58)</f>
        <v>0.3415922014622258</v>
      </c>
      <c r="I58" s="1">
        <f>$C$16/($C$17-$C$18*H58)</f>
        <v>0.3867162803971414</v>
      </c>
      <c r="J58" s="1">
        <f>$C$16/($C$17-$C$18*I58)</f>
        <v>0.39358441341045353</v>
      </c>
      <c r="K58" s="1">
        <f>$C$16/($C$17-$C$18*J58)</f>
        <v>0.39465123071155611</v>
      </c>
      <c r="L58" s="1">
        <f>$C$16/($C$17-$C$18*K58)</f>
        <v>0.39481745705771337</v>
      </c>
      <c r="M58" s="1">
        <f>$C$16/($C$17-$C$18*L58)</f>
        <v>0.39484337025824801</v>
      </c>
      <c r="N58" s="1">
        <f>$C$16/($C$17-$C$18*M58)</f>
        <v>0.39484741020089792</v>
      </c>
      <c r="O58" s="1">
        <f>$C$16/($C$17-$C$18*N58)</f>
        <v>0.39484804004704999</v>
      </c>
      <c r="P58" s="1">
        <f>$C$16/($C$17-$C$18*O58)</f>
        <v>0.39484813824322279</v>
      </c>
      <c r="Q58" s="1">
        <f>$C$16/($C$17-$C$18*P58)</f>
        <v>0.39484815355250286</v>
      </c>
      <c r="R58" s="1">
        <f>$C$16/($C$17-$C$18*Q58)</f>
        <v>0.39484815593929717</v>
      </c>
      <c r="S58" s="1">
        <f>$C$16/($C$17-$C$18*R58)</f>
        <v>0.39484815631141046</v>
      </c>
      <c r="T58" s="1">
        <f>$C$16/($C$17-$C$18*S58)</f>
        <v>0.39484815636942483</v>
      </c>
      <c r="U58" s="1">
        <f>$C$16/($C$17-$C$18*T58)</f>
        <v>0.39484815637846954</v>
      </c>
      <c r="V58" s="1">
        <f>$C$16/($C$17-$C$18*U58)</f>
        <v>0.39484815637987963</v>
      </c>
      <c r="W58" s="1">
        <f>$C$16/($C$17-$C$18*V58)</f>
        <v>0.39484815638009951</v>
      </c>
      <c r="X58" s="1">
        <f>$C$16/($C$17-$C$18*W58)</f>
        <v>0.39484815638013382</v>
      </c>
      <c r="Y58" s="1">
        <f>$C$16/($C$17-$C$18*X58)</f>
        <v>0.39484815638013915</v>
      </c>
      <c r="Z58" s="1">
        <f>$C$16/($C$17-$C$18*Y58)</f>
        <v>0.39484815638013998</v>
      </c>
      <c r="AA58" s="1">
        <f>$C$16/($C$17-$C$18*Z58)</f>
        <v>0.39484815638014015</v>
      </c>
      <c r="AB58" s="1">
        <f>$C$16/($C$17-$C$18*AA58)</f>
        <v>0.39484815638014015</v>
      </c>
      <c r="AC58" s="1">
        <f>$C$16/($C$17-$C$18*AB58)</f>
        <v>0.39484815638014015</v>
      </c>
      <c r="AD58" s="1">
        <f>$C$16/($C$17-$C$18*AC58)</f>
        <v>0.39484815638014015</v>
      </c>
      <c r="AE58" s="1">
        <f>$C$16/($C$17-$C$18*AD58)</f>
        <v>0.39484815638014015</v>
      </c>
      <c r="AF58" s="1">
        <f>$C$16/($C$17-$C$18*AE58)</f>
        <v>0.39484815638014015</v>
      </c>
      <c r="AG58" s="1">
        <f>$C$16/($C$17-$C$18*AF58)</f>
        <v>0.39484815638014015</v>
      </c>
      <c r="AH58" s="1">
        <f>$C$16/($C$17-$C$18*AG58)</f>
        <v>0.39484815638014015</v>
      </c>
      <c r="AI58" s="1">
        <f>$C$16/($C$17-$C$18*AH58)</f>
        <v>0.39484815638014015</v>
      </c>
      <c r="AJ58" s="1">
        <f>$C$16/($C$17-$C$18*AI58)</f>
        <v>0.39484815638014015</v>
      </c>
      <c r="AK58" s="2"/>
      <c r="AL58" s="2"/>
      <c r="AM58" s="1">
        <f>G25</f>
        <v>300</v>
      </c>
      <c r="AN58" s="1">
        <f>(AM58*$C$18-BT58)/($C$17-$C$18*G58)</f>
        <v>194.75942020920627</v>
      </c>
      <c r="AO58" s="1">
        <f>(AN58*$C$18-BU58)/($C$17-$C$18*H58)</f>
        <v>176.66852769877161</v>
      </c>
      <c r="AP58" s="1">
        <f>(AO58*$C$18-BV58)/($C$17-$C$18*I58)</f>
        <v>169.52578438712078</v>
      </c>
      <c r="AQ58" s="1">
        <f>(AP58*$C$18-BW58)/($C$17-$C$18*J58)</f>
        <v>164.02085461247313</v>
      </c>
      <c r="AR58" s="1">
        <f>(AQ58*$C$18-BX58)/($C$17-$C$18*K58)</f>
        <v>158.80006429465428</v>
      </c>
      <c r="AS58" s="1">
        <f>(AR58*$C$18-BY58)/($C$17-$C$18*L58)</f>
        <v>153.66982063711757</v>
      </c>
      <c r="AT58" s="1">
        <f>(AS58*$C$18-BZ58)/($C$17-$C$18*M58)</f>
        <v>148.61028613424477</v>
      </c>
      <c r="AU58" s="1">
        <f>(AT58*$C$18-CA58)/($C$17-$C$18*N58)</f>
        <v>143.6271661210765</v>
      </c>
      <c r="AV58" s="1">
        <f>(AU58*$C$18-CB58)/($C$17-$C$18*O58)</f>
        <v>138.72924734334626</v>
      </c>
      <c r="AW58" s="1">
        <f>(AV58*$C$18-CC58)/($C$17-$C$18*P58)</f>
        <v>133.9249160634073</v>
      </c>
      <c r="AX58" s="1">
        <f>(AW58*$C$18-CD58)/($C$17-$C$18*Q58)</f>
        <v>129.22155026599415</v>
      </c>
      <c r="AY58" s="1">
        <f>(AX58*$C$18-CE58)/($C$17-$C$18*R58)</f>
        <v>124.62535648390343</v>
      </c>
      <c r="AZ58" s="1">
        <f>(AY58*$C$18-CF58)/($C$17-$C$18*S58)</f>
        <v>120.14128564063344</v>
      </c>
      <c r="BA58" s="1">
        <f>(AZ58*$C$18-CG58)/($C$17-$C$18*T58)</f>
        <v>115.77297349222</v>
      </c>
      <c r="BB58" s="1">
        <f>(BA58*$C$18-CH58)/($C$17-$C$18*U58)</f>
        <v>111.522698010905</v>
      </c>
      <c r="BC58" s="1">
        <f>(BB58*$C$18-CI58)/($C$17-$C$18*V58)</f>
        <v>107.39135294120199</v>
      </c>
      <c r="BD58" s="1">
        <f>(BC58*$C$18-CJ58)/($C$17-$C$18*W58)</f>
        <v>103.37843763518742</v>
      </c>
      <c r="BE58" s="1">
        <f>(BD58*$C$18-CK58)/($C$17-$C$18*X58)</f>
        <v>99.482063242813666</v>
      </c>
      <c r="BF58" s="1">
        <f>(BE58*$C$18-CL58)/($C$17-$C$18*Y58)</f>
        <v>95.698975165357822</v>
      </c>
      <c r="BG58" s="1">
        <f>(BF58*$C$18-CM58)/($C$17-$C$18*Z58)</f>
        <v>92.024591493690835</v>
      </c>
      <c r="BH58" s="1">
        <f>(BG58*$C$18-CN58)/($C$17-$C$18*AA58)</f>
        <v>88.453056967473827</v>
      </c>
      <c r="BI58" s="1">
        <f>(BH58*$C$18-CO58)/($C$17-$C$18*AB58)</f>
        <v>84.977311811400156</v>
      </c>
      <c r="BJ58" s="1">
        <f>(BI58*$C$18-CP58)/($C$17-$C$18*AC58)</f>
        <v>81.589174632617542</v>
      </c>
      <c r="BK58" s="1">
        <f>(BJ58*$C$18-CQ58)/($C$17-$C$18*AD58)</f>
        <v>78.279438401448829</v>
      </c>
      <c r="BL58" s="1">
        <f>(BK58*$C$18-CR58)/($C$17-$C$18*AE58)</f>
        <v>75.037978387256217</v>
      </c>
      <c r="BM58" s="1">
        <f>(BL58*$C$18-CS58)/($C$17-$C$18*AF58)</f>
        <v>71.853870784380817</v>
      </c>
      <c r="BN58" s="1">
        <f>(BM58*$C$18-CT58)/($C$17-$C$18*AG58)</f>
        <v>68.715520640990164</v>
      </c>
      <c r="BO58" s="1">
        <f>(BN58*$C$18-CU58)/($C$17-$C$18*AH58)</f>
        <v>65.610797597661687</v>
      </c>
      <c r="BP58" s="1">
        <f>(BO58*$C$18-CV58)/($C$17-$C$18*AI58)</f>
        <v>62.527177853718776</v>
      </c>
      <c r="BQ58" s="2"/>
      <c r="BR58" s="2"/>
      <c r="BS58" s="1">
        <f>-$C$10*$C$9*G25/$C$7</f>
        <v>-1076400000</v>
      </c>
      <c r="BT58" s="1">
        <f>-$C$10*$C$9*H25/$C$7</f>
        <v>-1045109385.7533028</v>
      </c>
      <c r="BU58" s="1">
        <f>-$C$10*$C$9*I25/$C$7</f>
        <v>-1013895556.547509</v>
      </c>
      <c r="BV58" s="1">
        <f>-$C$10*$C$9*J25/$C$7</f>
        <v>-982834395.24029672</v>
      </c>
      <c r="BW58" s="1">
        <f>-$C$10*$C$9*K25/$C$7</f>
        <v>-951999990.99129403</v>
      </c>
      <c r="BX58" s="1">
        <f>-$C$10*$C$9*L25/$C$7</f>
        <v>-921463768.95472658</v>
      </c>
      <c r="BY58" s="1">
        <f>-$C$10*$C$9*M25/$C$7</f>
        <v>-891293651.46163249</v>
      </c>
      <c r="BZ58" s="1">
        <f>-$C$10*$C$9*N25/$C$7</f>
        <v>-861553260.59256744</v>
      </c>
      <c r="CA58" s="1">
        <f>-$C$10*$C$9*O25/$C$7</f>
        <v>-832301171.5413419</v>
      </c>
      <c r="CB58" s="1">
        <f>-$C$10*$C$9*P25/$C$7</f>
        <v>-803590225.55734682</v>
      </c>
      <c r="CC58" s="1">
        <f>-$C$10*$C$9*Q25/$C$7</f>
        <v>-775466910.53640866</v>
      </c>
      <c r="CD58" s="1">
        <f>-$C$10*$C$9*R25/$C$7</f>
        <v>-747970816.5172143</v>
      </c>
      <c r="CE58" s="1">
        <f>-$C$10*$C$9*S25/$C$7</f>
        <v>-721134172.44258118</v>
      </c>
      <c r="CF58" s="1">
        <f>-$C$10*$C$9*T25/$C$7</f>
        <v>-694981469.57368243</v>
      </c>
      <c r="CG58" s="1">
        <f>-$C$10*$C$9*U25/$C$7</f>
        <v>-669529175.91300035</v>
      </c>
      <c r="CH58" s="1">
        <f>-$C$10*$C$9*V25/$C$7</f>
        <v>-644785544.91116452</v>
      </c>
      <c r="CI58" s="1">
        <f>-$C$10*$C$9*W25/$C$7</f>
        <v>-620750520.61722004</v>
      </c>
      <c r="CJ58" s="1">
        <f>-$C$10*$C$9*X25/$C$7</f>
        <v>-597415740.29483092</v>
      </c>
      <c r="CK58" s="1">
        <f>-$C$10*$C$9*Y25/$C$7</f>
        <v>-574764634.38209105</v>
      </c>
      <c r="CL58" s="1">
        <f>-$C$10*$C$9*Z25/$C$7</f>
        <v>-552772622.53349292</v>
      </c>
      <c r="CM58" s="1">
        <f>-$C$10*$C$9*AA25/$C$7</f>
        <v>-531407403.36245638</v>
      </c>
      <c r="CN58" s="1">
        <f>-$C$10*$C$9*AB25/$C$7</f>
        <v>-510629334.41449499</v>
      </c>
      <c r="CO58" s="1">
        <f>-$C$10*$C$9*AC25/$C$7</f>
        <v>-490391897.85685056</v>
      </c>
      <c r="CP58" s="1">
        <f>-$C$10*$C$9*AD25/$C$7</f>
        <v>-470642246.38188469</v>
      </c>
      <c r="CQ58" s="1">
        <f>-$C$10*$C$9*AE25/$C$7</f>
        <v>-451321822.8995012</v>
      </c>
      <c r="CR58" s="1">
        <f>-$C$10*$C$9*AF25/$C$7</f>
        <v>-432367046.74831116</v>
      </c>
      <c r="CS58" s="1">
        <f>-$C$10*$C$9*AG25/$C$7</f>
        <v>-413710058.3951816</v>
      </c>
      <c r="CT58" s="1">
        <f>-$C$10*$C$9*AH25/$C$7</f>
        <v>-395279513.92616963</v>
      </c>
      <c r="CU58" s="1">
        <f>-$C$10*$C$9*AI25/$C$7</f>
        <v>-377001420.06560141</v>
      </c>
      <c r="CV58" s="1">
        <f>-$C$10*$C$9*AJ25/$C$7</f>
        <v>-358800000</v>
      </c>
      <c r="CW58" s="2"/>
      <c r="CX58" s="2"/>
      <c r="CY58" s="1">
        <f>G25</f>
        <v>300</v>
      </c>
      <c r="CZ58" s="1">
        <f t="shared" si="3"/>
        <v>291.30187853019197</v>
      </c>
      <c r="DA58" s="1">
        <f t="shared" si="4"/>
        <v>282.62488987665495</v>
      </c>
      <c r="DB58" s="1">
        <f t="shared" si="5"/>
        <v>273.98991857563021</v>
      </c>
      <c r="DC58" s="1">
        <f t="shared" si="6"/>
        <v>265.41735553833513</v>
      </c>
      <c r="DD58" s="1">
        <f t="shared" si="7"/>
        <v>256.92685854049944</v>
      </c>
      <c r="DE58" s="1">
        <f t="shared" si="8"/>
        <v>248.53712137531261</v>
      </c>
      <c r="DF58" s="1">
        <f t="shared" si="9"/>
        <v>240.26565439391047</v>
      </c>
      <c r="DG58" s="1">
        <f t="shared" si="10"/>
        <v>232.12857902001065</v>
      </c>
      <c r="DH58" s="1">
        <f t="shared" si="11"/>
        <v>224.14043865682697</v>
      </c>
      <c r="DI58" s="1">
        <f t="shared" si="12"/>
        <v>216.31402820713873</v>
      </c>
      <c r="DJ58" s="1">
        <f t="shared" si="13"/>
        <v>208.66024420391821</v>
      </c>
      <c r="DK58" s="1">
        <f t="shared" si="14"/>
        <v>201.18795730208939</v>
      </c>
      <c r="DL58" s="1">
        <f t="shared" si="15"/>
        <v>193.90390861494177</v>
      </c>
      <c r="DM58" s="1">
        <f t="shared" si="16"/>
        <v>186.81263109481282</v>
      </c>
      <c r="DN58" s="1">
        <f t="shared" si="17"/>
        <v>179.91639686041725</v>
      </c>
      <c r="DO58" s="1">
        <f t="shared" si="18"/>
        <v>173.21519106628762</v>
      </c>
      <c r="DP58" s="1">
        <f t="shared" si="19"/>
        <v>166.70671259693179</v>
      </c>
      <c r="DQ58" s="1">
        <f t="shared" si="20"/>
        <v>160.38640155324941</v>
      </c>
      <c r="DR58" s="1">
        <f t="shared" si="21"/>
        <v>154.24749318520369</v>
      </c>
      <c r="DS58" s="1">
        <f t="shared" si="22"/>
        <v>148.28109761636648</v>
      </c>
      <c r="DT58" s="1">
        <f t="shared" si="23"/>
        <v>142.47630440628086</v>
      </c>
      <c r="DU58" s="1">
        <f t="shared" si="24"/>
        <v>136.82031070900109</v>
      </c>
      <c r="DV58" s="1">
        <f t="shared" si="25"/>
        <v>131.29857151387858</v>
      </c>
      <c r="DW58" s="1">
        <f t="shared" si="26"/>
        <v>125.89497020065436</v>
      </c>
      <c r="DX58" s="1">
        <f t="shared" si="27"/>
        <v>120.59200740794054</v>
      </c>
      <c r="DY58" s="1">
        <f t="shared" si="28"/>
        <v>115.37100600471635</v>
      </c>
      <c r="DZ58" s="1">
        <f t="shared" si="29"/>
        <v>110.21232977073697</v>
      </c>
      <c r="EA58" s="1">
        <f t="shared" si="30"/>
        <v>105.0956132356757</v>
      </c>
      <c r="EB58" s="1">
        <f>AJ25</f>
        <v>100</v>
      </c>
    </row>
    <row r="59" spans="4:132">
      <c r="D59" s="3"/>
      <c r="E59" s="3"/>
      <c r="F59" s="1">
        <v>6</v>
      </c>
      <c r="G59" s="1">
        <f>0</f>
        <v>0</v>
      </c>
      <c r="H59" s="1">
        <f>$C$16/($C$17-$C$18*G59)</f>
        <v>0.3415922014622258</v>
      </c>
      <c r="I59" s="1">
        <f>$C$16/($C$17-$C$18*H59)</f>
        <v>0.3867162803971414</v>
      </c>
      <c r="J59" s="1">
        <f>$C$16/($C$17-$C$18*I59)</f>
        <v>0.39358441341045353</v>
      </c>
      <c r="K59" s="1">
        <f>$C$16/($C$17-$C$18*J59)</f>
        <v>0.39465123071155611</v>
      </c>
      <c r="L59" s="1">
        <f>$C$16/($C$17-$C$18*K59)</f>
        <v>0.39481745705771337</v>
      </c>
      <c r="M59" s="1">
        <f>$C$16/($C$17-$C$18*L59)</f>
        <v>0.39484337025824801</v>
      </c>
      <c r="N59" s="1">
        <f>$C$16/($C$17-$C$18*M59)</f>
        <v>0.39484741020089792</v>
      </c>
      <c r="O59" s="1">
        <f>$C$16/($C$17-$C$18*N59)</f>
        <v>0.39484804004704999</v>
      </c>
      <c r="P59" s="1">
        <f>$C$16/($C$17-$C$18*O59)</f>
        <v>0.39484813824322279</v>
      </c>
      <c r="Q59" s="1">
        <f>$C$16/($C$17-$C$18*P59)</f>
        <v>0.39484815355250286</v>
      </c>
      <c r="R59" s="1">
        <f>$C$16/($C$17-$C$18*Q59)</f>
        <v>0.39484815593929717</v>
      </c>
      <c r="S59" s="1">
        <f>$C$16/($C$17-$C$18*R59)</f>
        <v>0.39484815631141046</v>
      </c>
      <c r="T59" s="1">
        <f>$C$16/($C$17-$C$18*S59)</f>
        <v>0.39484815636942483</v>
      </c>
      <c r="U59" s="1">
        <f>$C$16/($C$17-$C$18*T59)</f>
        <v>0.39484815637846954</v>
      </c>
      <c r="V59" s="1">
        <f>$C$16/($C$17-$C$18*U59)</f>
        <v>0.39484815637987963</v>
      </c>
      <c r="W59" s="1">
        <f>$C$16/($C$17-$C$18*V59)</f>
        <v>0.39484815638009951</v>
      </c>
      <c r="X59" s="1">
        <f>$C$16/($C$17-$C$18*W59)</f>
        <v>0.39484815638013382</v>
      </c>
      <c r="Y59" s="1">
        <f>$C$16/($C$17-$C$18*X59)</f>
        <v>0.39484815638013915</v>
      </c>
      <c r="Z59" s="1">
        <f>$C$16/($C$17-$C$18*Y59)</f>
        <v>0.39484815638013998</v>
      </c>
      <c r="AA59" s="1">
        <f>$C$16/($C$17-$C$18*Z59)</f>
        <v>0.39484815638014015</v>
      </c>
      <c r="AB59" s="1">
        <f>$C$16/($C$17-$C$18*AA59)</f>
        <v>0.39484815638014015</v>
      </c>
      <c r="AC59" s="1">
        <f>$C$16/($C$17-$C$18*AB59)</f>
        <v>0.39484815638014015</v>
      </c>
      <c r="AD59" s="1">
        <f>$C$16/($C$17-$C$18*AC59)</f>
        <v>0.39484815638014015</v>
      </c>
      <c r="AE59" s="1">
        <f>$C$16/($C$17-$C$18*AD59)</f>
        <v>0.39484815638014015</v>
      </c>
      <c r="AF59" s="1">
        <f>$C$16/($C$17-$C$18*AE59)</f>
        <v>0.39484815638014015</v>
      </c>
      <c r="AG59" s="1">
        <f>$C$16/($C$17-$C$18*AF59)</f>
        <v>0.39484815638014015</v>
      </c>
      <c r="AH59" s="1">
        <f>$C$16/($C$17-$C$18*AG59)</f>
        <v>0.39484815638014015</v>
      </c>
      <c r="AI59" s="1">
        <f>$C$16/($C$17-$C$18*AH59)</f>
        <v>0.39484815638014015</v>
      </c>
      <c r="AJ59" s="1">
        <f>$C$16/($C$17-$C$18*AI59)</f>
        <v>0.39484815638014015</v>
      </c>
      <c r="AK59" s="2"/>
      <c r="AL59" s="2"/>
      <c r="AM59" s="1">
        <f>G26</f>
        <v>300</v>
      </c>
      <c r="AN59" s="1">
        <f>(AM59*$C$18-BT59)/($C$17-$C$18*G59)</f>
        <v>194.75942020920627</v>
      </c>
      <c r="AO59" s="1">
        <f>(AN59*$C$18-BU59)/($C$17-$C$18*H59)</f>
        <v>176.66852769877161</v>
      </c>
      <c r="AP59" s="1">
        <f>(AO59*$C$18-BV59)/($C$17-$C$18*I59)</f>
        <v>169.52578438712078</v>
      </c>
      <c r="AQ59" s="1">
        <f>(AP59*$C$18-BW59)/($C$17-$C$18*J59)</f>
        <v>164.02085461247313</v>
      </c>
      <c r="AR59" s="1">
        <f>(AQ59*$C$18-BX59)/($C$17-$C$18*K59)</f>
        <v>158.80006429465428</v>
      </c>
      <c r="AS59" s="1">
        <f>(AR59*$C$18-BY59)/($C$17-$C$18*L59)</f>
        <v>153.6698206371176</v>
      </c>
      <c r="AT59" s="1">
        <f>(AS59*$C$18-BZ59)/($C$17-$C$18*M59)</f>
        <v>148.6102861342448</v>
      </c>
      <c r="AU59" s="1">
        <f>(AT59*$C$18-CA59)/($C$17-$C$18*N59)</f>
        <v>143.62716612107653</v>
      </c>
      <c r="AV59" s="1">
        <f>(AU59*$C$18-CB59)/($C$17-$C$18*O59)</f>
        <v>138.72924734334629</v>
      </c>
      <c r="AW59" s="1">
        <f>(AV59*$C$18-CC59)/($C$17-$C$18*P59)</f>
        <v>133.92491606340732</v>
      </c>
      <c r="AX59" s="1">
        <f>(AW59*$C$18-CD59)/($C$17-$C$18*Q59)</f>
        <v>129.22155026599415</v>
      </c>
      <c r="AY59" s="1">
        <f>(AX59*$C$18-CE59)/($C$17-$C$18*R59)</f>
        <v>124.62535648390343</v>
      </c>
      <c r="AZ59" s="1">
        <f>(AY59*$C$18-CF59)/($C$17-$C$18*S59)</f>
        <v>120.14128564063344</v>
      </c>
      <c r="BA59" s="1">
        <f>(AZ59*$C$18-CG59)/($C$17-$C$18*T59)</f>
        <v>115.77297349222</v>
      </c>
      <c r="BB59" s="1">
        <f>(BA59*$C$18-CH59)/($C$17-$C$18*U59)</f>
        <v>111.52269801090502</v>
      </c>
      <c r="BC59" s="1">
        <f>(BB59*$C$18-CI59)/($C$17-$C$18*V59)</f>
        <v>107.391352941202</v>
      </c>
      <c r="BD59" s="1">
        <f>(BC59*$C$18-CJ59)/($C$17-$C$18*W59)</f>
        <v>103.37843763518744</v>
      </c>
      <c r="BE59" s="1">
        <f>(BD59*$C$18-CK59)/($C$17-$C$18*X59)</f>
        <v>99.48206324281368</v>
      </c>
      <c r="BF59" s="1">
        <f>(BE59*$C$18-CL59)/($C$17-$C$18*Y59)</f>
        <v>95.698975165357837</v>
      </c>
      <c r="BG59" s="1">
        <f>(BF59*$C$18-CM59)/($C$17-$C$18*Z59)</f>
        <v>92.024591493690835</v>
      </c>
      <c r="BH59" s="1">
        <f>(BG59*$C$18-CN59)/($C$17-$C$18*AA59)</f>
        <v>88.453056967473842</v>
      </c>
      <c r="BI59" s="1">
        <f>(BH59*$C$18-CO59)/($C$17-$C$18*AB59)</f>
        <v>84.977311811400156</v>
      </c>
      <c r="BJ59" s="1">
        <f>(BI59*$C$18-CP59)/($C$17-$C$18*AC59)</f>
        <v>81.589174632617542</v>
      </c>
      <c r="BK59" s="1">
        <f>(BJ59*$C$18-CQ59)/($C$17-$C$18*AD59)</f>
        <v>78.279438401448843</v>
      </c>
      <c r="BL59" s="1">
        <f>(BK59*$C$18-CR59)/($C$17-$C$18*AE59)</f>
        <v>75.037978387256231</v>
      </c>
      <c r="BM59" s="1">
        <f>(BL59*$C$18-CS59)/($C$17-$C$18*AF59)</f>
        <v>71.853870784380817</v>
      </c>
      <c r="BN59" s="1">
        <f>(BM59*$C$18-CT59)/($C$17-$C$18*AG59)</f>
        <v>68.715520640990164</v>
      </c>
      <c r="BO59" s="1">
        <f>(BN59*$C$18-CU59)/($C$17-$C$18*AH59)</f>
        <v>65.610797597661687</v>
      </c>
      <c r="BP59" s="1">
        <f>(BO59*$C$18-CV59)/($C$17-$C$18*AI59)</f>
        <v>62.527177853718776</v>
      </c>
      <c r="BQ59" s="2"/>
      <c r="BR59" s="2"/>
      <c r="BS59" s="1">
        <f>-$C$10*$C$9*G26/$C$7</f>
        <v>-1076400000</v>
      </c>
      <c r="BT59" s="1">
        <f>-$C$10*$C$9*H26/$C$7</f>
        <v>-1045109385.7533028</v>
      </c>
      <c r="BU59" s="1">
        <f>-$C$10*$C$9*I26/$C$7</f>
        <v>-1013895556.547509</v>
      </c>
      <c r="BV59" s="1">
        <f>-$C$10*$C$9*J26/$C$7</f>
        <v>-982834395.24029672</v>
      </c>
      <c r="BW59" s="1">
        <f>-$C$10*$C$9*K26/$C$7</f>
        <v>-951999990.99129403</v>
      </c>
      <c r="BX59" s="1">
        <f>-$C$10*$C$9*L26/$C$7</f>
        <v>-921463768.95472658</v>
      </c>
      <c r="BY59" s="1">
        <f>-$C$10*$C$9*M26/$C$7</f>
        <v>-891293651.46163261</v>
      </c>
      <c r="BZ59" s="1">
        <f>-$C$10*$C$9*N26/$C$7</f>
        <v>-861553260.59256744</v>
      </c>
      <c r="CA59" s="1">
        <f>-$C$10*$C$9*O26/$C$7</f>
        <v>-832301171.5413419</v>
      </c>
      <c r="CB59" s="1">
        <f>-$C$10*$C$9*P26/$C$7</f>
        <v>-803590225.55734706</v>
      </c>
      <c r="CC59" s="1">
        <f>-$C$10*$C$9*Q26/$C$7</f>
        <v>-775466910.5364089</v>
      </c>
      <c r="CD59" s="1">
        <f>-$C$10*$C$9*R26/$C$7</f>
        <v>-747970816.5172143</v>
      </c>
      <c r="CE59" s="1">
        <f>-$C$10*$C$9*S26/$C$7</f>
        <v>-721134172.4425813</v>
      </c>
      <c r="CF59" s="1">
        <f>-$C$10*$C$9*T26/$C$7</f>
        <v>-694981469.57368255</v>
      </c>
      <c r="CG59" s="1">
        <f>-$C$10*$C$9*U26/$C$7</f>
        <v>-669529175.91300035</v>
      </c>
      <c r="CH59" s="1">
        <f>-$C$10*$C$9*V26/$C$7</f>
        <v>-644785544.91116476</v>
      </c>
      <c r="CI59" s="1">
        <f>-$C$10*$C$9*W26/$C$7</f>
        <v>-620750520.61722004</v>
      </c>
      <c r="CJ59" s="1">
        <f>-$C$10*$C$9*X26/$C$7</f>
        <v>-597415740.29483092</v>
      </c>
      <c r="CK59" s="1">
        <f>-$C$10*$C$9*Y26/$C$7</f>
        <v>-574764634.38209105</v>
      </c>
      <c r="CL59" s="1">
        <f>-$C$10*$C$9*Z26/$C$7</f>
        <v>-552772622.53349304</v>
      </c>
      <c r="CM59" s="1">
        <f>-$C$10*$C$9*AA26/$C$7</f>
        <v>-531407403.36245638</v>
      </c>
      <c r="CN59" s="1">
        <f>-$C$10*$C$9*AB26/$C$7</f>
        <v>-510629334.41449511</v>
      </c>
      <c r="CO59" s="1">
        <f>-$C$10*$C$9*AC26/$C$7</f>
        <v>-490391897.85685056</v>
      </c>
      <c r="CP59" s="1">
        <f>-$C$10*$C$9*AD26/$C$7</f>
        <v>-470642246.38188481</v>
      </c>
      <c r="CQ59" s="1">
        <f>-$C$10*$C$9*AE26/$C$7</f>
        <v>-451321822.89950126</v>
      </c>
      <c r="CR59" s="1">
        <f>-$C$10*$C$9*AF26/$C$7</f>
        <v>-432367046.74831128</v>
      </c>
      <c r="CS59" s="1">
        <f>-$C$10*$C$9*AG26/$C$7</f>
        <v>-413710058.39518172</v>
      </c>
      <c r="CT59" s="1">
        <f>-$C$10*$C$9*AH26/$C$7</f>
        <v>-395279513.92616969</v>
      </c>
      <c r="CU59" s="1">
        <f>-$C$10*$C$9*AI26/$C$7</f>
        <v>-377001420.06560141</v>
      </c>
      <c r="CV59" s="1">
        <f>-$C$10*$C$9*AJ26/$C$7</f>
        <v>-358800000</v>
      </c>
      <c r="CW59" s="2"/>
      <c r="CX59" s="2"/>
      <c r="CY59" s="1">
        <f>G26</f>
        <v>300</v>
      </c>
      <c r="CZ59" s="1">
        <f t="shared" si="3"/>
        <v>291.30187853019197</v>
      </c>
      <c r="DA59" s="1">
        <f t="shared" si="4"/>
        <v>282.62488987665495</v>
      </c>
      <c r="DB59" s="1">
        <f t="shared" si="5"/>
        <v>273.98991857563021</v>
      </c>
      <c r="DC59" s="1">
        <f t="shared" si="6"/>
        <v>265.41735553833513</v>
      </c>
      <c r="DD59" s="1">
        <f t="shared" si="7"/>
        <v>256.9268585404995</v>
      </c>
      <c r="DE59" s="1">
        <f t="shared" si="8"/>
        <v>248.53712137531267</v>
      </c>
      <c r="DF59" s="1">
        <f t="shared" si="9"/>
        <v>240.26565439391049</v>
      </c>
      <c r="DG59" s="1">
        <f t="shared" si="10"/>
        <v>232.1285790200107</v>
      </c>
      <c r="DH59" s="1">
        <f t="shared" si="11"/>
        <v>224.140438656827</v>
      </c>
      <c r="DI59" s="1">
        <f t="shared" si="12"/>
        <v>216.31402820713876</v>
      </c>
      <c r="DJ59" s="1">
        <f t="shared" si="13"/>
        <v>208.66024420391821</v>
      </c>
      <c r="DK59" s="1">
        <f t="shared" si="14"/>
        <v>201.18795730208939</v>
      </c>
      <c r="DL59" s="1">
        <f t="shared" si="15"/>
        <v>193.90390861494177</v>
      </c>
      <c r="DM59" s="1">
        <f t="shared" si="16"/>
        <v>186.81263109481284</v>
      </c>
      <c r="DN59" s="1">
        <f t="shared" si="17"/>
        <v>179.91639686041731</v>
      </c>
      <c r="DO59" s="1">
        <f t="shared" si="18"/>
        <v>173.21519106628764</v>
      </c>
      <c r="DP59" s="1">
        <f t="shared" si="19"/>
        <v>166.70671259693182</v>
      </c>
      <c r="DQ59" s="1">
        <f t="shared" si="20"/>
        <v>160.38640155324944</v>
      </c>
      <c r="DR59" s="1">
        <f t="shared" si="21"/>
        <v>154.24749318520372</v>
      </c>
      <c r="DS59" s="1">
        <f t="shared" si="22"/>
        <v>148.28109761636648</v>
      </c>
      <c r="DT59" s="1">
        <f t="shared" si="23"/>
        <v>142.47630440628089</v>
      </c>
      <c r="DU59" s="1">
        <f t="shared" si="24"/>
        <v>136.82031070900112</v>
      </c>
      <c r="DV59" s="1">
        <f t="shared" si="25"/>
        <v>131.29857151387861</v>
      </c>
      <c r="DW59" s="1">
        <f t="shared" si="26"/>
        <v>125.89497020065437</v>
      </c>
      <c r="DX59" s="1">
        <f t="shared" si="27"/>
        <v>120.59200740794057</v>
      </c>
      <c r="DY59" s="1">
        <f t="shared" si="28"/>
        <v>115.37100600471635</v>
      </c>
      <c r="DZ59" s="1">
        <f t="shared" si="29"/>
        <v>110.21232977073697</v>
      </c>
      <c r="EA59" s="1">
        <f t="shared" si="30"/>
        <v>105.0956132356757</v>
      </c>
      <c r="EB59" s="1">
        <f>AJ26</f>
        <v>100</v>
      </c>
    </row>
    <row r="60" spans="4:132">
      <c r="D60" s="3"/>
      <c r="E60" s="3"/>
      <c r="F60" s="1">
        <v>5</v>
      </c>
      <c r="G60" s="1">
        <f>0</f>
        <v>0</v>
      </c>
      <c r="H60" s="1">
        <f>$C$16/($C$17-$C$18*G60)</f>
        <v>0.3415922014622258</v>
      </c>
      <c r="I60" s="1">
        <f>$C$16/($C$17-$C$18*H60)</f>
        <v>0.3867162803971414</v>
      </c>
      <c r="J60" s="1">
        <f>$C$16/($C$17-$C$18*I60)</f>
        <v>0.39358441341045353</v>
      </c>
      <c r="K60" s="1">
        <f>$C$16/($C$17-$C$18*J60)</f>
        <v>0.39465123071155611</v>
      </c>
      <c r="L60" s="1">
        <f>$C$16/($C$17-$C$18*K60)</f>
        <v>0.39481745705771337</v>
      </c>
      <c r="M60" s="1">
        <f>$C$16/($C$17-$C$18*L60)</f>
        <v>0.39484337025824801</v>
      </c>
      <c r="N60" s="1">
        <f>$C$16/($C$17-$C$18*M60)</f>
        <v>0.39484741020089792</v>
      </c>
      <c r="O60" s="1">
        <f>$C$16/($C$17-$C$18*N60)</f>
        <v>0.39484804004704999</v>
      </c>
      <c r="P60" s="1">
        <f>$C$16/($C$17-$C$18*O60)</f>
        <v>0.39484813824322279</v>
      </c>
      <c r="Q60" s="1">
        <f>$C$16/($C$17-$C$18*P60)</f>
        <v>0.39484815355250286</v>
      </c>
      <c r="R60" s="1">
        <f>$C$16/($C$17-$C$18*Q60)</f>
        <v>0.39484815593929717</v>
      </c>
      <c r="S60" s="1">
        <f>$C$16/($C$17-$C$18*R60)</f>
        <v>0.39484815631141046</v>
      </c>
      <c r="T60" s="1">
        <f>$C$16/($C$17-$C$18*S60)</f>
        <v>0.39484815636942483</v>
      </c>
      <c r="U60" s="1">
        <f>$C$16/($C$17-$C$18*T60)</f>
        <v>0.39484815637846954</v>
      </c>
      <c r="V60" s="1">
        <f>$C$16/($C$17-$C$18*U60)</f>
        <v>0.39484815637987963</v>
      </c>
      <c r="W60" s="1">
        <f>$C$16/($C$17-$C$18*V60)</f>
        <v>0.39484815638009951</v>
      </c>
      <c r="X60" s="1">
        <f>$C$16/($C$17-$C$18*W60)</f>
        <v>0.39484815638013382</v>
      </c>
      <c r="Y60" s="1">
        <f>$C$16/($C$17-$C$18*X60)</f>
        <v>0.39484815638013915</v>
      </c>
      <c r="Z60" s="1">
        <f>$C$16/($C$17-$C$18*Y60)</f>
        <v>0.39484815638013998</v>
      </c>
      <c r="AA60" s="1">
        <f>$C$16/($C$17-$C$18*Z60)</f>
        <v>0.39484815638014015</v>
      </c>
      <c r="AB60" s="1">
        <f>$C$16/($C$17-$C$18*AA60)</f>
        <v>0.39484815638014015</v>
      </c>
      <c r="AC60" s="1">
        <f>$C$16/($C$17-$C$18*AB60)</f>
        <v>0.39484815638014015</v>
      </c>
      <c r="AD60" s="1">
        <f>$C$16/($C$17-$C$18*AC60)</f>
        <v>0.39484815638014015</v>
      </c>
      <c r="AE60" s="1">
        <f>$C$16/($C$17-$C$18*AD60)</f>
        <v>0.39484815638014015</v>
      </c>
      <c r="AF60" s="1">
        <f>$C$16/($C$17-$C$18*AE60)</f>
        <v>0.39484815638014015</v>
      </c>
      <c r="AG60" s="1">
        <f>$C$16/($C$17-$C$18*AF60)</f>
        <v>0.39484815638014015</v>
      </c>
      <c r="AH60" s="1">
        <f>$C$16/($C$17-$C$18*AG60)</f>
        <v>0.39484815638014015</v>
      </c>
      <c r="AI60" s="1">
        <f>$C$16/($C$17-$C$18*AH60)</f>
        <v>0.39484815638014015</v>
      </c>
      <c r="AJ60" s="1">
        <f>$C$16/($C$17-$C$18*AI60)</f>
        <v>0.39484815638014015</v>
      </c>
      <c r="AK60" s="2"/>
      <c r="AL60" s="2"/>
      <c r="AM60" s="1">
        <f>G27</f>
        <v>300</v>
      </c>
      <c r="AN60" s="1">
        <f>(AM60*$C$18-BT60)/($C$17-$C$18*G60)</f>
        <v>194.75942020920627</v>
      </c>
      <c r="AO60" s="1">
        <f>(AN60*$C$18-BU60)/($C$17-$C$18*H60)</f>
        <v>176.66852769877161</v>
      </c>
      <c r="AP60" s="1">
        <f>(AO60*$C$18-BV60)/($C$17-$C$18*I60)</f>
        <v>169.52578438712078</v>
      </c>
      <c r="AQ60" s="1">
        <f>(AP60*$C$18-BW60)/($C$17-$C$18*J60)</f>
        <v>164.02085461247313</v>
      </c>
      <c r="AR60" s="1">
        <f>(AQ60*$C$18-BX60)/($C$17-$C$18*K60)</f>
        <v>158.80006429465428</v>
      </c>
      <c r="AS60" s="1">
        <f>(AR60*$C$18-BY60)/($C$17-$C$18*L60)</f>
        <v>153.66982063711762</v>
      </c>
      <c r="AT60" s="1">
        <f>(AS60*$C$18-BZ60)/($C$17-$C$18*M60)</f>
        <v>148.6102861342448</v>
      </c>
      <c r="AU60" s="1">
        <f>(AT60*$C$18-CA60)/($C$17-$C$18*N60)</f>
        <v>143.62716612107653</v>
      </c>
      <c r="AV60" s="1">
        <f>(AU60*$C$18-CB60)/($C$17-$C$18*O60)</f>
        <v>138.72924734334629</v>
      </c>
      <c r="AW60" s="1">
        <f>(AV60*$C$18-CC60)/($C$17-$C$18*P60)</f>
        <v>133.92491606340732</v>
      </c>
      <c r="AX60" s="1">
        <f>(AW60*$C$18-CD60)/($C$17-$C$18*Q60)</f>
        <v>129.22155026599415</v>
      </c>
      <c r="AY60" s="1">
        <f>(AX60*$C$18-CE60)/($C$17-$C$18*R60)</f>
        <v>124.62535648390343</v>
      </c>
      <c r="AZ60" s="1">
        <f>(AY60*$C$18-CF60)/($C$17-$C$18*S60)</f>
        <v>120.14128564063344</v>
      </c>
      <c r="BA60" s="1">
        <f>(AZ60*$C$18-CG60)/($C$17-$C$18*T60)</f>
        <v>115.77297349222</v>
      </c>
      <c r="BB60" s="1">
        <f>(BA60*$C$18-CH60)/($C$17-$C$18*U60)</f>
        <v>111.52269801090502</v>
      </c>
      <c r="BC60" s="1">
        <f>(BB60*$C$18-CI60)/($C$17-$C$18*V60)</f>
        <v>107.391352941202</v>
      </c>
      <c r="BD60" s="1">
        <f>(BC60*$C$18-CJ60)/($C$17-$C$18*W60)</f>
        <v>103.37843763518744</v>
      </c>
      <c r="BE60" s="1">
        <f>(BD60*$C$18-CK60)/($C$17-$C$18*X60)</f>
        <v>99.48206324281368</v>
      </c>
      <c r="BF60" s="1">
        <f>(BE60*$C$18-CL60)/($C$17-$C$18*Y60)</f>
        <v>95.698975165357837</v>
      </c>
      <c r="BG60" s="1">
        <f>(BF60*$C$18-CM60)/($C$17-$C$18*Z60)</f>
        <v>92.024591493690835</v>
      </c>
      <c r="BH60" s="1">
        <f>(BG60*$C$18-CN60)/($C$17-$C$18*AA60)</f>
        <v>88.453056967473842</v>
      </c>
      <c r="BI60" s="1">
        <f>(BH60*$C$18-CO60)/($C$17-$C$18*AB60)</f>
        <v>84.977311811400156</v>
      </c>
      <c r="BJ60" s="1">
        <f>(BI60*$C$18-CP60)/($C$17-$C$18*AC60)</f>
        <v>81.589174632617542</v>
      </c>
      <c r="BK60" s="1">
        <f>(BJ60*$C$18-CQ60)/($C$17-$C$18*AD60)</f>
        <v>78.279438401448843</v>
      </c>
      <c r="BL60" s="1">
        <f>(BK60*$C$18-CR60)/($C$17-$C$18*AE60)</f>
        <v>75.037978387256231</v>
      </c>
      <c r="BM60" s="1">
        <f>(BL60*$C$18-CS60)/($C$17-$C$18*AF60)</f>
        <v>71.853870784380817</v>
      </c>
      <c r="BN60" s="1">
        <f>(BM60*$C$18-CT60)/($C$17-$C$18*AG60)</f>
        <v>68.715520640990164</v>
      </c>
      <c r="BO60" s="1">
        <f>(BN60*$C$18-CU60)/($C$17-$C$18*AH60)</f>
        <v>65.610797597661687</v>
      </c>
      <c r="BP60" s="1">
        <f>(BO60*$C$18-CV60)/($C$17-$C$18*AI60)</f>
        <v>62.527177853718776</v>
      </c>
      <c r="BQ60" s="2"/>
      <c r="BR60" s="2"/>
      <c r="BS60" s="1">
        <f>-$C$10*$C$9*G27/$C$7</f>
        <v>-1076400000</v>
      </c>
      <c r="BT60" s="1">
        <f>-$C$10*$C$9*H27/$C$7</f>
        <v>-1045109385.7533029</v>
      </c>
      <c r="BU60" s="1">
        <f>-$C$10*$C$9*I27/$C$7</f>
        <v>-1013895556.5475092</v>
      </c>
      <c r="BV60" s="1">
        <f>-$C$10*$C$9*J27/$C$7</f>
        <v>-982834395.24029672</v>
      </c>
      <c r="BW60" s="1">
        <f>-$C$10*$C$9*K27/$C$7</f>
        <v>-951999990.99129403</v>
      </c>
      <c r="BX60" s="1">
        <f>-$C$10*$C$9*L27/$C$7</f>
        <v>-921463768.95472658</v>
      </c>
      <c r="BY60" s="1">
        <f>-$C$10*$C$9*M27/$C$7</f>
        <v>-891293651.46163285</v>
      </c>
      <c r="BZ60" s="1">
        <f>-$C$10*$C$9*N27/$C$7</f>
        <v>-861553260.59256744</v>
      </c>
      <c r="CA60" s="1">
        <f>-$C$10*$C$9*O27/$C$7</f>
        <v>-832301171.54134202</v>
      </c>
      <c r="CB60" s="1">
        <f>-$C$10*$C$9*P27/$C$7</f>
        <v>-803590225.55734706</v>
      </c>
      <c r="CC60" s="1">
        <f>-$C$10*$C$9*Q27/$C$7</f>
        <v>-775466910.5364089</v>
      </c>
      <c r="CD60" s="1">
        <f>-$C$10*$C$9*R27/$C$7</f>
        <v>-747970816.51721442</v>
      </c>
      <c r="CE60" s="1">
        <f>-$C$10*$C$9*S27/$C$7</f>
        <v>-721134172.4425813</v>
      </c>
      <c r="CF60" s="1">
        <f>-$C$10*$C$9*T27/$C$7</f>
        <v>-694981469.57368255</v>
      </c>
      <c r="CG60" s="1">
        <f>-$C$10*$C$9*U27/$C$7</f>
        <v>-669529175.91300035</v>
      </c>
      <c r="CH60" s="1">
        <f>-$C$10*$C$9*V27/$C$7</f>
        <v>-644785544.91116476</v>
      </c>
      <c r="CI60" s="1">
        <f>-$C$10*$C$9*W27/$C$7</f>
        <v>-620750520.61722004</v>
      </c>
      <c r="CJ60" s="1">
        <f>-$C$10*$C$9*X27/$C$7</f>
        <v>-597415740.29483092</v>
      </c>
      <c r="CK60" s="1">
        <f>-$C$10*$C$9*Y27/$C$7</f>
        <v>-574764634.38209105</v>
      </c>
      <c r="CL60" s="1">
        <f>-$C$10*$C$9*Z27/$C$7</f>
        <v>-552772622.53349304</v>
      </c>
      <c r="CM60" s="1">
        <f>-$C$10*$C$9*AA27/$C$7</f>
        <v>-531407403.36245638</v>
      </c>
      <c r="CN60" s="1">
        <f>-$C$10*$C$9*AB27/$C$7</f>
        <v>-510629334.41449511</v>
      </c>
      <c r="CO60" s="1">
        <f>-$C$10*$C$9*AC27/$C$7</f>
        <v>-490391897.85685056</v>
      </c>
      <c r="CP60" s="1">
        <f>-$C$10*$C$9*AD27/$C$7</f>
        <v>-470642246.38188481</v>
      </c>
      <c r="CQ60" s="1">
        <f>-$C$10*$C$9*AE27/$C$7</f>
        <v>-451321822.89950126</v>
      </c>
      <c r="CR60" s="1">
        <f>-$C$10*$C$9*AF27/$C$7</f>
        <v>-432367046.74831128</v>
      </c>
      <c r="CS60" s="1">
        <f>-$C$10*$C$9*AG27/$C$7</f>
        <v>-413710058.39518172</v>
      </c>
      <c r="CT60" s="1">
        <f>-$C$10*$C$9*AH27/$C$7</f>
        <v>-395279513.92616969</v>
      </c>
      <c r="CU60" s="1">
        <f>-$C$10*$C$9*AI27/$C$7</f>
        <v>-377001420.06560141</v>
      </c>
      <c r="CV60" s="1">
        <f>-$C$10*$C$9*AJ27/$C$7</f>
        <v>-358800000</v>
      </c>
      <c r="CW60" s="2"/>
      <c r="CX60" s="2"/>
      <c r="CY60" s="1">
        <f>G27</f>
        <v>300</v>
      </c>
      <c r="CZ60" s="1">
        <f t="shared" si="3"/>
        <v>291.30187853019197</v>
      </c>
      <c r="DA60" s="1">
        <f t="shared" si="4"/>
        <v>282.62488987665495</v>
      </c>
      <c r="DB60" s="1">
        <f t="shared" si="5"/>
        <v>273.98991857563021</v>
      </c>
      <c r="DC60" s="1">
        <f t="shared" si="6"/>
        <v>265.41735553833513</v>
      </c>
      <c r="DD60" s="1">
        <f t="shared" si="7"/>
        <v>256.9268585404995</v>
      </c>
      <c r="DE60" s="1">
        <f t="shared" si="8"/>
        <v>248.53712137531267</v>
      </c>
      <c r="DF60" s="1">
        <f t="shared" si="9"/>
        <v>240.26565439391049</v>
      </c>
      <c r="DG60" s="1">
        <f t="shared" si="10"/>
        <v>232.1285790200107</v>
      </c>
      <c r="DH60" s="1">
        <f t="shared" si="11"/>
        <v>224.140438656827</v>
      </c>
      <c r="DI60" s="1">
        <f t="shared" si="12"/>
        <v>216.31402820713876</v>
      </c>
      <c r="DJ60" s="1">
        <f t="shared" si="13"/>
        <v>208.66024420391821</v>
      </c>
      <c r="DK60" s="1">
        <f t="shared" si="14"/>
        <v>201.18795730208939</v>
      </c>
      <c r="DL60" s="1">
        <f t="shared" si="15"/>
        <v>193.90390861494177</v>
      </c>
      <c r="DM60" s="1">
        <f t="shared" si="16"/>
        <v>186.81263109481284</v>
      </c>
      <c r="DN60" s="1">
        <f t="shared" si="17"/>
        <v>179.91639686041731</v>
      </c>
      <c r="DO60" s="1">
        <f t="shared" si="18"/>
        <v>173.21519106628764</v>
      </c>
      <c r="DP60" s="1">
        <f t="shared" si="19"/>
        <v>166.70671259693182</v>
      </c>
      <c r="DQ60" s="1">
        <f t="shared" si="20"/>
        <v>160.38640155324944</v>
      </c>
      <c r="DR60" s="1">
        <f t="shared" si="21"/>
        <v>154.24749318520372</v>
      </c>
      <c r="DS60" s="1">
        <f t="shared" si="22"/>
        <v>148.28109761636648</v>
      </c>
      <c r="DT60" s="1">
        <f t="shared" si="23"/>
        <v>142.47630440628089</v>
      </c>
      <c r="DU60" s="1">
        <f t="shared" si="24"/>
        <v>136.82031070900112</v>
      </c>
      <c r="DV60" s="1">
        <f t="shared" si="25"/>
        <v>131.29857151387861</v>
      </c>
      <c r="DW60" s="1">
        <f t="shared" si="26"/>
        <v>125.89497020065437</v>
      </c>
      <c r="DX60" s="1">
        <f t="shared" si="27"/>
        <v>120.59200740794057</v>
      </c>
      <c r="DY60" s="1">
        <f t="shared" si="28"/>
        <v>115.37100600471635</v>
      </c>
      <c r="DZ60" s="1">
        <f t="shared" si="29"/>
        <v>110.21232977073697</v>
      </c>
      <c r="EA60" s="1">
        <f t="shared" si="30"/>
        <v>105.0956132356757</v>
      </c>
      <c r="EB60" s="1">
        <f>AJ27</f>
        <v>100</v>
      </c>
    </row>
    <row r="61" spans="4:132">
      <c r="D61" s="3"/>
      <c r="E61" s="3"/>
      <c r="F61" s="1">
        <v>4</v>
      </c>
      <c r="G61" s="1">
        <f>0</f>
        <v>0</v>
      </c>
      <c r="H61" s="1">
        <f>$C$16/($C$17-$C$18*G61)</f>
        <v>0.3415922014622258</v>
      </c>
      <c r="I61" s="1">
        <f>$C$16/($C$17-$C$18*H61)</f>
        <v>0.3867162803971414</v>
      </c>
      <c r="J61" s="1">
        <f>$C$16/($C$17-$C$18*I61)</f>
        <v>0.39358441341045353</v>
      </c>
      <c r="K61" s="1">
        <f>$C$16/($C$17-$C$18*J61)</f>
        <v>0.39465123071155611</v>
      </c>
      <c r="L61" s="1">
        <f>$C$16/($C$17-$C$18*K61)</f>
        <v>0.39481745705771337</v>
      </c>
      <c r="M61" s="1">
        <f>$C$16/($C$17-$C$18*L61)</f>
        <v>0.39484337025824801</v>
      </c>
      <c r="N61" s="1">
        <f>$C$16/($C$17-$C$18*M61)</f>
        <v>0.39484741020089792</v>
      </c>
      <c r="O61" s="1">
        <f>$C$16/($C$17-$C$18*N61)</f>
        <v>0.39484804004704999</v>
      </c>
      <c r="P61" s="1">
        <f>$C$16/($C$17-$C$18*O61)</f>
        <v>0.39484813824322279</v>
      </c>
      <c r="Q61" s="1">
        <f>$C$16/($C$17-$C$18*P61)</f>
        <v>0.39484815355250286</v>
      </c>
      <c r="R61" s="1">
        <f>$C$16/($C$17-$C$18*Q61)</f>
        <v>0.39484815593929717</v>
      </c>
      <c r="S61" s="1">
        <f>$C$16/($C$17-$C$18*R61)</f>
        <v>0.39484815631141046</v>
      </c>
      <c r="T61" s="1">
        <f>$C$16/($C$17-$C$18*S61)</f>
        <v>0.39484815636942483</v>
      </c>
      <c r="U61" s="1">
        <f>$C$16/($C$17-$C$18*T61)</f>
        <v>0.39484815637846954</v>
      </c>
      <c r="V61" s="1">
        <f>$C$16/($C$17-$C$18*U61)</f>
        <v>0.39484815637987963</v>
      </c>
      <c r="W61" s="1">
        <f>$C$16/($C$17-$C$18*V61)</f>
        <v>0.39484815638009951</v>
      </c>
      <c r="X61" s="1">
        <f>$C$16/($C$17-$C$18*W61)</f>
        <v>0.39484815638013382</v>
      </c>
      <c r="Y61" s="1">
        <f>$C$16/($C$17-$C$18*X61)</f>
        <v>0.39484815638013915</v>
      </c>
      <c r="Z61" s="1">
        <f>$C$16/($C$17-$C$18*Y61)</f>
        <v>0.39484815638013998</v>
      </c>
      <c r="AA61" s="1">
        <f>$C$16/($C$17-$C$18*Z61)</f>
        <v>0.39484815638014015</v>
      </c>
      <c r="AB61" s="1">
        <f>$C$16/($C$17-$C$18*AA61)</f>
        <v>0.39484815638014015</v>
      </c>
      <c r="AC61" s="1">
        <f>$C$16/($C$17-$C$18*AB61)</f>
        <v>0.39484815638014015</v>
      </c>
      <c r="AD61" s="1">
        <f>$C$16/($C$17-$C$18*AC61)</f>
        <v>0.39484815638014015</v>
      </c>
      <c r="AE61" s="1">
        <f>$C$16/($C$17-$C$18*AD61)</f>
        <v>0.39484815638014015</v>
      </c>
      <c r="AF61" s="1">
        <f>$C$16/($C$17-$C$18*AE61)</f>
        <v>0.39484815638014015</v>
      </c>
      <c r="AG61" s="1">
        <f>$C$16/($C$17-$C$18*AF61)</f>
        <v>0.39484815638014015</v>
      </c>
      <c r="AH61" s="1">
        <f>$C$16/($C$17-$C$18*AG61)</f>
        <v>0.39484815638014015</v>
      </c>
      <c r="AI61" s="1">
        <f>$C$16/($C$17-$C$18*AH61)</f>
        <v>0.39484815638014015</v>
      </c>
      <c r="AJ61" s="1">
        <f>$C$16/($C$17-$C$18*AI61)</f>
        <v>0.39484815638014015</v>
      </c>
      <c r="AK61" s="2"/>
      <c r="AL61" s="2"/>
      <c r="AM61" s="1">
        <f>G28</f>
        <v>300</v>
      </c>
      <c r="AN61" s="1">
        <f>(AM61*$C$18-BT61)/($C$17-$C$18*G61)</f>
        <v>194.75942020920627</v>
      </c>
      <c r="AO61" s="1">
        <f>(AN61*$C$18-BU61)/($C$17-$C$18*H61)</f>
        <v>176.66852769877164</v>
      </c>
      <c r="AP61" s="1">
        <f>(AO61*$C$18-BV61)/($C$17-$C$18*I61)</f>
        <v>169.52578438712084</v>
      </c>
      <c r="AQ61" s="1">
        <f>(AP61*$C$18-BW61)/($C$17-$C$18*J61)</f>
        <v>164.02085461247319</v>
      </c>
      <c r="AR61" s="1">
        <f>(AQ61*$C$18-BX61)/($C$17-$C$18*K61)</f>
        <v>158.80006429465431</v>
      </c>
      <c r="AS61" s="1">
        <f>(AR61*$C$18-BY61)/($C$17-$C$18*L61)</f>
        <v>153.66982063711765</v>
      </c>
      <c r="AT61" s="1">
        <f>(AS61*$C$18-BZ61)/($C$17-$C$18*M61)</f>
        <v>148.61028613424486</v>
      </c>
      <c r="AU61" s="1">
        <f>(AT61*$C$18-CA61)/($C$17-$C$18*N61)</f>
        <v>143.62716612107658</v>
      </c>
      <c r="AV61" s="1">
        <f>(AU61*$C$18-CB61)/($C$17-$C$18*O61)</f>
        <v>138.72924734334634</v>
      </c>
      <c r="AW61" s="1">
        <f>(AV61*$C$18-CC61)/($C$17-$C$18*P61)</f>
        <v>133.92491606340735</v>
      </c>
      <c r="AX61" s="1">
        <f>(AW61*$C$18-CD61)/($C$17-$C$18*Q61)</f>
        <v>129.22155026599418</v>
      </c>
      <c r="AY61" s="1">
        <f>(AX61*$C$18-CE61)/($C$17-$C$18*R61)</f>
        <v>124.62535648390343</v>
      </c>
      <c r="AZ61" s="1">
        <f>(AY61*$C$18-CF61)/($C$17-$C$18*S61)</f>
        <v>120.14128564063344</v>
      </c>
      <c r="BA61" s="1">
        <f>(AZ61*$C$18-CG61)/($C$17-$C$18*T61)</f>
        <v>115.77297349222</v>
      </c>
      <c r="BB61" s="1">
        <f>(BA61*$C$18-CH61)/($C$17-$C$18*U61)</f>
        <v>111.52269801090502</v>
      </c>
      <c r="BC61" s="1">
        <f>(BB61*$C$18-CI61)/($C$17-$C$18*V61)</f>
        <v>107.39135294120203</v>
      </c>
      <c r="BD61" s="1">
        <f>(BC61*$C$18-CJ61)/($C$17-$C$18*W61)</f>
        <v>103.37843763518747</v>
      </c>
      <c r="BE61" s="1">
        <f>(BD61*$C$18-CK61)/($C$17-$C$18*X61)</f>
        <v>99.48206324281368</v>
      </c>
      <c r="BF61" s="1">
        <f>(BE61*$C$18-CL61)/($C$17-$C$18*Y61)</f>
        <v>95.698975165357837</v>
      </c>
      <c r="BG61" s="1">
        <f>(BF61*$C$18-CM61)/($C$17-$C$18*Z61)</f>
        <v>92.024591493690863</v>
      </c>
      <c r="BH61" s="1">
        <f>(BG61*$C$18-CN61)/($C$17-$C$18*AA61)</f>
        <v>88.453056967473856</v>
      </c>
      <c r="BI61" s="1">
        <f>(BH61*$C$18-CO61)/($C$17-$C$18*AB61)</f>
        <v>84.977311811400185</v>
      </c>
      <c r="BJ61" s="1">
        <f>(BI61*$C$18-CP61)/($C$17-$C$18*AC61)</f>
        <v>81.589174632617585</v>
      </c>
      <c r="BK61" s="1">
        <f>(BJ61*$C$18-CQ61)/($C$17-$C$18*AD61)</f>
        <v>78.279438401448871</v>
      </c>
      <c r="BL61" s="1">
        <f>(BK61*$C$18-CR61)/($C$17-$C$18*AE61)</f>
        <v>75.037978387256246</v>
      </c>
      <c r="BM61" s="1">
        <f>(BL61*$C$18-CS61)/($C$17-$C$18*AF61)</f>
        <v>71.853870784380831</v>
      </c>
      <c r="BN61" s="1">
        <f>(BM61*$C$18-CT61)/($C$17-$C$18*AG61)</f>
        <v>68.715520640990178</v>
      </c>
      <c r="BO61" s="1">
        <f>(BN61*$C$18-CU61)/($C$17-$C$18*AH61)</f>
        <v>65.610797597661701</v>
      </c>
      <c r="BP61" s="1">
        <f>(BO61*$C$18-CV61)/($C$17-$C$18*AI61)</f>
        <v>62.527177853718776</v>
      </c>
      <c r="BQ61" s="2"/>
      <c r="BR61" s="2"/>
      <c r="BS61" s="1">
        <f>-$C$10*$C$9*G28/$C$7</f>
        <v>-1076400000</v>
      </c>
      <c r="BT61" s="1">
        <f>-$C$10*$C$9*H28/$C$7</f>
        <v>-1045109385.7533029</v>
      </c>
      <c r="BU61" s="1">
        <f>-$C$10*$C$9*I28/$C$7</f>
        <v>-1013895556.5475094</v>
      </c>
      <c r="BV61" s="1">
        <f>-$C$10*$C$9*J28/$C$7</f>
        <v>-982834395.24029696</v>
      </c>
      <c r="BW61" s="1">
        <f>-$C$10*$C$9*K28/$C$7</f>
        <v>-951999990.99129403</v>
      </c>
      <c r="BX61" s="1">
        <f>-$C$10*$C$9*L28/$C$7</f>
        <v>-921463768.95472682</v>
      </c>
      <c r="BY61" s="1">
        <f>-$C$10*$C$9*M28/$C$7</f>
        <v>-891293651.46163297</v>
      </c>
      <c r="BZ61" s="1">
        <f>-$C$10*$C$9*N28/$C$7</f>
        <v>-861553260.59256768</v>
      </c>
      <c r="CA61" s="1">
        <f>-$C$10*$C$9*O28/$C$7</f>
        <v>-832301171.54134226</v>
      </c>
      <c r="CB61" s="1">
        <f>-$C$10*$C$9*P28/$C$7</f>
        <v>-803590225.55734718</v>
      </c>
      <c r="CC61" s="1">
        <f>-$C$10*$C$9*Q28/$C$7</f>
        <v>-775466910.53640902</v>
      </c>
      <c r="CD61" s="1">
        <f>-$C$10*$C$9*R28/$C$7</f>
        <v>-747970816.51721442</v>
      </c>
      <c r="CE61" s="1">
        <f>-$C$10*$C$9*S28/$C$7</f>
        <v>-721134172.4425813</v>
      </c>
      <c r="CF61" s="1">
        <f>-$C$10*$C$9*T28/$C$7</f>
        <v>-694981469.57368255</v>
      </c>
      <c r="CG61" s="1">
        <f>-$C$10*$C$9*U28/$C$7</f>
        <v>-669529175.91300046</v>
      </c>
      <c r="CH61" s="1">
        <f>-$C$10*$C$9*V28/$C$7</f>
        <v>-644785544.91116488</v>
      </c>
      <c r="CI61" s="1">
        <f>-$C$10*$C$9*W28/$C$7</f>
        <v>-620750520.61722028</v>
      </c>
      <c r="CJ61" s="1">
        <f>-$C$10*$C$9*X28/$C$7</f>
        <v>-597415740.29483116</v>
      </c>
      <c r="CK61" s="1">
        <f>-$C$10*$C$9*Y28/$C$7</f>
        <v>-574764634.38209116</v>
      </c>
      <c r="CL61" s="1">
        <f>-$C$10*$C$9*Z28/$C$7</f>
        <v>-552772622.53349304</v>
      </c>
      <c r="CM61" s="1">
        <f>-$C$10*$C$9*AA28/$C$7</f>
        <v>-531407403.3624565</v>
      </c>
      <c r="CN61" s="1">
        <f>-$C$10*$C$9*AB28/$C$7</f>
        <v>-510629334.41449523</v>
      </c>
      <c r="CO61" s="1">
        <f>-$C$10*$C$9*AC28/$C$7</f>
        <v>-490391897.85685062</v>
      </c>
      <c r="CP61" s="1">
        <f>-$C$10*$C$9*AD28/$C$7</f>
        <v>-470642246.38188505</v>
      </c>
      <c r="CQ61" s="1">
        <f>-$C$10*$C$9*AE28/$C$7</f>
        <v>-451321822.89950132</v>
      </c>
      <c r="CR61" s="1">
        <f>-$C$10*$C$9*AF28/$C$7</f>
        <v>-432367046.74831128</v>
      </c>
      <c r="CS61" s="1">
        <f>-$C$10*$C$9*AG28/$C$7</f>
        <v>-413710058.39518172</v>
      </c>
      <c r="CT61" s="1">
        <f>-$C$10*$C$9*AH28/$C$7</f>
        <v>-395279513.92616981</v>
      </c>
      <c r="CU61" s="1">
        <f>-$C$10*$C$9*AI28/$C$7</f>
        <v>-377001420.06560153</v>
      </c>
      <c r="CV61" s="1">
        <f>-$C$10*$C$9*AJ28/$C$7</f>
        <v>-358800000</v>
      </c>
      <c r="CW61" s="2"/>
      <c r="CX61" s="2"/>
      <c r="CY61" s="1">
        <f>G28</f>
        <v>300</v>
      </c>
      <c r="CZ61" s="1">
        <f t="shared" si="3"/>
        <v>291.30187853019197</v>
      </c>
      <c r="DA61" s="1">
        <f t="shared" si="4"/>
        <v>282.624889876655</v>
      </c>
      <c r="DB61" s="1">
        <f t="shared" si="5"/>
        <v>273.98991857563027</v>
      </c>
      <c r="DC61" s="1">
        <f t="shared" si="6"/>
        <v>265.41735553833519</v>
      </c>
      <c r="DD61" s="1">
        <f t="shared" si="7"/>
        <v>256.92685854049955</v>
      </c>
      <c r="DE61" s="1">
        <f t="shared" si="8"/>
        <v>248.53712137531275</v>
      </c>
      <c r="DF61" s="1">
        <f t="shared" si="9"/>
        <v>240.26565439391061</v>
      </c>
      <c r="DG61" s="1">
        <f t="shared" si="10"/>
        <v>232.12857902001079</v>
      </c>
      <c r="DH61" s="1">
        <f t="shared" si="11"/>
        <v>224.14043865682709</v>
      </c>
      <c r="DI61" s="1">
        <f t="shared" si="12"/>
        <v>216.31402820713879</v>
      </c>
      <c r="DJ61" s="1">
        <f t="shared" si="13"/>
        <v>208.66024420391824</v>
      </c>
      <c r="DK61" s="1">
        <f t="shared" si="14"/>
        <v>201.18795730208939</v>
      </c>
      <c r="DL61" s="1">
        <f t="shared" si="15"/>
        <v>193.90390861494177</v>
      </c>
      <c r="DM61" s="1">
        <f t="shared" si="16"/>
        <v>186.81263109481284</v>
      </c>
      <c r="DN61" s="1">
        <f t="shared" si="17"/>
        <v>179.91639686041731</v>
      </c>
      <c r="DO61" s="1">
        <f t="shared" si="18"/>
        <v>173.21519106628767</v>
      </c>
      <c r="DP61" s="1">
        <f t="shared" si="19"/>
        <v>166.70671259693182</v>
      </c>
      <c r="DQ61" s="1">
        <f t="shared" si="20"/>
        <v>160.38640155324944</v>
      </c>
      <c r="DR61" s="1">
        <f t="shared" si="21"/>
        <v>154.24749318520372</v>
      </c>
      <c r="DS61" s="1">
        <f t="shared" si="22"/>
        <v>148.28109761636654</v>
      </c>
      <c r="DT61" s="1">
        <f t="shared" si="23"/>
        <v>142.47630440628092</v>
      </c>
      <c r="DU61" s="1">
        <f t="shared" si="24"/>
        <v>136.82031070900115</v>
      </c>
      <c r="DV61" s="1">
        <f t="shared" si="25"/>
        <v>131.29857151387864</v>
      </c>
      <c r="DW61" s="1">
        <f t="shared" si="26"/>
        <v>125.8949702006544</v>
      </c>
      <c r="DX61" s="1">
        <f t="shared" si="27"/>
        <v>120.59200740794057</v>
      </c>
      <c r="DY61" s="1">
        <f t="shared" si="28"/>
        <v>115.37100600471636</v>
      </c>
      <c r="DZ61" s="1">
        <f t="shared" si="29"/>
        <v>110.21232977073699</v>
      </c>
      <c r="EA61" s="1">
        <f t="shared" si="30"/>
        <v>105.09561323567571</v>
      </c>
      <c r="EB61" s="1">
        <f>AJ28</f>
        <v>100</v>
      </c>
    </row>
    <row r="62" spans="4:132">
      <c r="D62" s="3"/>
      <c r="E62" s="3"/>
      <c r="F62" s="1">
        <v>3</v>
      </c>
      <c r="G62" s="1">
        <f>0</f>
        <v>0</v>
      </c>
      <c r="H62" s="1">
        <f>$C$16/($C$17-$C$18*G62)</f>
        <v>0.3415922014622258</v>
      </c>
      <c r="I62" s="1">
        <f>$C$16/($C$17-$C$18*H62)</f>
        <v>0.3867162803971414</v>
      </c>
      <c r="J62" s="1">
        <f>$C$16/($C$17-$C$18*I62)</f>
        <v>0.39358441341045353</v>
      </c>
      <c r="K62" s="1">
        <f>$C$16/($C$17-$C$18*J62)</f>
        <v>0.39465123071155611</v>
      </c>
      <c r="L62" s="1">
        <f>$C$16/($C$17-$C$18*K62)</f>
        <v>0.39481745705771337</v>
      </c>
      <c r="M62" s="1">
        <f>$C$16/($C$17-$C$18*L62)</f>
        <v>0.39484337025824801</v>
      </c>
      <c r="N62" s="1">
        <f>$C$16/($C$17-$C$18*M62)</f>
        <v>0.39484741020089792</v>
      </c>
      <c r="O62" s="1">
        <f>$C$16/($C$17-$C$18*N62)</f>
        <v>0.39484804004704999</v>
      </c>
      <c r="P62" s="1">
        <f>$C$16/($C$17-$C$18*O62)</f>
        <v>0.39484813824322279</v>
      </c>
      <c r="Q62" s="1">
        <f>$C$16/($C$17-$C$18*P62)</f>
        <v>0.39484815355250286</v>
      </c>
      <c r="R62" s="1">
        <f>$C$16/($C$17-$C$18*Q62)</f>
        <v>0.39484815593929717</v>
      </c>
      <c r="S62" s="1">
        <f>$C$16/($C$17-$C$18*R62)</f>
        <v>0.39484815631141046</v>
      </c>
      <c r="T62" s="1">
        <f>$C$16/($C$17-$C$18*S62)</f>
        <v>0.39484815636942483</v>
      </c>
      <c r="U62" s="1">
        <f>$C$16/($C$17-$C$18*T62)</f>
        <v>0.39484815637846954</v>
      </c>
      <c r="V62" s="1">
        <f>$C$16/($C$17-$C$18*U62)</f>
        <v>0.39484815637987963</v>
      </c>
      <c r="W62" s="1">
        <f>$C$16/($C$17-$C$18*V62)</f>
        <v>0.39484815638009951</v>
      </c>
      <c r="X62" s="1">
        <f>$C$16/($C$17-$C$18*W62)</f>
        <v>0.39484815638013382</v>
      </c>
      <c r="Y62" s="1">
        <f>$C$16/($C$17-$C$18*X62)</f>
        <v>0.39484815638013915</v>
      </c>
      <c r="Z62" s="1">
        <f>$C$16/($C$17-$C$18*Y62)</f>
        <v>0.39484815638013998</v>
      </c>
      <c r="AA62" s="1">
        <f>$C$16/($C$17-$C$18*Z62)</f>
        <v>0.39484815638014015</v>
      </c>
      <c r="AB62" s="1">
        <f>$C$16/($C$17-$C$18*AA62)</f>
        <v>0.39484815638014015</v>
      </c>
      <c r="AC62" s="1">
        <f>$C$16/($C$17-$C$18*AB62)</f>
        <v>0.39484815638014015</v>
      </c>
      <c r="AD62" s="1">
        <f>$C$16/($C$17-$C$18*AC62)</f>
        <v>0.39484815638014015</v>
      </c>
      <c r="AE62" s="1">
        <f>$C$16/($C$17-$C$18*AD62)</f>
        <v>0.39484815638014015</v>
      </c>
      <c r="AF62" s="1">
        <f>$C$16/($C$17-$C$18*AE62)</f>
        <v>0.39484815638014015</v>
      </c>
      <c r="AG62" s="1">
        <f>$C$16/($C$17-$C$18*AF62)</f>
        <v>0.39484815638014015</v>
      </c>
      <c r="AH62" s="1">
        <f>$C$16/($C$17-$C$18*AG62)</f>
        <v>0.39484815638014015</v>
      </c>
      <c r="AI62" s="1">
        <f>$C$16/($C$17-$C$18*AH62)</f>
        <v>0.39484815638014015</v>
      </c>
      <c r="AJ62" s="1">
        <f>$C$16/($C$17-$C$18*AI62)</f>
        <v>0.39484815638014015</v>
      </c>
      <c r="AK62" s="2"/>
      <c r="AL62" s="2"/>
      <c r="AM62" s="1">
        <f>G29</f>
        <v>300</v>
      </c>
      <c r="AN62" s="1">
        <f>(AM62*$C$18-BT62)/($C$17-$C$18*G62)</f>
        <v>194.75942020920627</v>
      </c>
      <c r="AO62" s="1">
        <f>(AN62*$C$18-BU62)/($C$17-$C$18*H62)</f>
        <v>176.66852769877164</v>
      </c>
      <c r="AP62" s="1">
        <f>(AO62*$C$18-BV62)/($C$17-$C$18*I62)</f>
        <v>169.52578438712084</v>
      </c>
      <c r="AQ62" s="1">
        <f>(AP62*$C$18-BW62)/($C$17-$C$18*J62)</f>
        <v>164.02085461247319</v>
      </c>
      <c r="AR62" s="1">
        <f>(AQ62*$C$18-BX62)/($C$17-$C$18*K62)</f>
        <v>158.80006429465431</v>
      </c>
      <c r="AS62" s="1">
        <f>(AR62*$C$18-BY62)/($C$17-$C$18*L62)</f>
        <v>153.66982063711765</v>
      </c>
      <c r="AT62" s="1">
        <f>(AS62*$C$18-BZ62)/($C$17-$C$18*M62)</f>
        <v>148.61028613424486</v>
      </c>
      <c r="AU62" s="1">
        <f>(AT62*$C$18-CA62)/($C$17-$C$18*N62)</f>
        <v>143.62716612107658</v>
      </c>
      <c r="AV62" s="1">
        <f>(AU62*$C$18-CB62)/($C$17-$C$18*O62)</f>
        <v>138.72924734334634</v>
      </c>
      <c r="AW62" s="1">
        <f>(AV62*$C$18-CC62)/($C$17-$C$18*P62)</f>
        <v>133.92491606340735</v>
      </c>
      <c r="AX62" s="1">
        <f>(AW62*$C$18-CD62)/($C$17-$C$18*Q62)</f>
        <v>129.22155026599418</v>
      </c>
      <c r="AY62" s="1">
        <f>(AX62*$C$18-CE62)/($C$17-$C$18*R62)</f>
        <v>124.62535648390343</v>
      </c>
      <c r="AZ62" s="1">
        <f>(AY62*$C$18-CF62)/($C$17-$C$18*S62)</f>
        <v>120.14128564063344</v>
      </c>
      <c r="BA62" s="1">
        <f>(AZ62*$C$18-CG62)/($C$17-$C$18*T62)</f>
        <v>115.77297349222</v>
      </c>
      <c r="BB62" s="1">
        <f>(BA62*$C$18-CH62)/($C$17-$C$18*U62)</f>
        <v>111.52269801090502</v>
      </c>
      <c r="BC62" s="1">
        <f>(BB62*$C$18-CI62)/($C$17-$C$18*V62)</f>
        <v>107.39135294120203</v>
      </c>
      <c r="BD62" s="1">
        <f>(BC62*$C$18-CJ62)/($C$17-$C$18*W62)</f>
        <v>103.37843763518747</v>
      </c>
      <c r="BE62" s="1">
        <f>(BD62*$C$18-CK62)/($C$17-$C$18*X62)</f>
        <v>99.48206324281368</v>
      </c>
      <c r="BF62" s="1">
        <f>(BE62*$C$18-CL62)/($C$17-$C$18*Y62)</f>
        <v>95.698975165357865</v>
      </c>
      <c r="BG62" s="1">
        <f>(BF62*$C$18-CM62)/($C$17-$C$18*Z62)</f>
        <v>92.024591493690863</v>
      </c>
      <c r="BH62" s="1">
        <f>(BG62*$C$18-CN62)/($C$17-$C$18*AA62)</f>
        <v>88.453056967473856</v>
      </c>
      <c r="BI62" s="1">
        <f>(BH62*$C$18-CO62)/($C$17-$C$18*AB62)</f>
        <v>84.977311811400185</v>
      </c>
      <c r="BJ62" s="1">
        <f>(BI62*$C$18-CP62)/($C$17-$C$18*AC62)</f>
        <v>81.589174632617585</v>
      </c>
      <c r="BK62" s="1">
        <f>(BJ62*$C$18-CQ62)/($C$17-$C$18*AD62)</f>
        <v>78.279438401448871</v>
      </c>
      <c r="BL62" s="1">
        <f>(BK62*$C$18-CR62)/($C$17-$C$18*AE62)</f>
        <v>75.03797838725626</v>
      </c>
      <c r="BM62" s="1">
        <f>(BL62*$C$18-CS62)/($C$17-$C$18*AF62)</f>
        <v>71.853870784380845</v>
      </c>
      <c r="BN62" s="1">
        <f>(BM62*$C$18-CT62)/($C$17-$C$18*AG62)</f>
        <v>68.715520640990192</v>
      </c>
      <c r="BO62" s="1">
        <f>(BN62*$C$18-CU62)/($C$17-$C$18*AH62)</f>
        <v>65.610797597661715</v>
      </c>
      <c r="BP62" s="1">
        <f>(BO62*$C$18-CV62)/($C$17-$C$18*AI62)</f>
        <v>62.52717785371879</v>
      </c>
      <c r="BQ62" s="2"/>
      <c r="BR62" s="2"/>
      <c r="BS62" s="1">
        <f>-$C$10*$C$9*G29/$C$7</f>
        <v>-1076400000</v>
      </c>
      <c r="BT62" s="1">
        <f>-$C$10*$C$9*H29/$C$7</f>
        <v>-1045109385.7533029</v>
      </c>
      <c r="BU62" s="1">
        <f>-$C$10*$C$9*I29/$C$7</f>
        <v>-1013895556.5475094</v>
      </c>
      <c r="BV62" s="1">
        <f>-$C$10*$C$9*J29/$C$7</f>
        <v>-982834395.24029708</v>
      </c>
      <c r="BW62" s="1">
        <f>-$C$10*$C$9*K29/$C$7</f>
        <v>-951999990.99129426</v>
      </c>
      <c r="BX62" s="1">
        <f>-$C$10*$C$9*L29/$C$7</f>
        <v>-921463768.95472705</v>
      </c>
      <c r="BY62" s="1">
        <f>-$C$10*$C$9*M29/$C$7</f>
        <v>-891293651.46163297</v>
      </c>
      <c r="BZ62" s="1">
        <f>-$C$10*$C$9*N29/$C$7</f>
        <v>-861553260.59256768</v>
      </c>
      <c r="CA62" s="1">
        <f>-$C$10*$C$9*O29/$C$7</f>
        <v>-832301171.54134226</v>
      </c>
      <c r="CB62" s="1">
        <f>-$C$10*$C$9*P29/$C$7</f>
        <v>-803590225.55734706</v>
      </c>
      <c r="CC62" s="1">
        <f>-$C$10*$C$9*Q29/$C$7</f>
        <v>-775466910.53640902</v>
      </c>
      <c r="CD62" s="1">
        <f>-$C$10*$C$9*R29/$C$7</f>
        <v>-747970816.51721442</v>
      </c>
      <c r="CE62" s="1">
        <f>-$C$10*$C$9*S29/$C$7</f>
        <v>-721134172.4425813</v>
      </c>
      <c r="CF62" s="1">
        <f>-$C$10*$C$9*T29/$C$7</f>
        <v>-694981469.57368255</v>
      </c>
      <c r="CG62" s="1">
        <f>-$C$10*$C$9*U29/$C$7</f>
        <v>-669529175.91300046</v>
      </c>
      <c r="CH62" s="1">
        <f>-$C$10*$C$9*V29/$C$7</f>
        <v>-644785544.91116476</v>
      </c>
      <c r="CI62" s="1">
        <f>-$C$10*$C$9*W29/$C$7</f>
        <v>-620750520.6172204</v>
      </c>
      <c r="CJ62" s="1">
        <f>-$C$10*$C$9*X29/$C$7</f>
        <v>-597415740.29483116</v>
      </c>
      <c r="CK62" s="1">
        <f>-$C$10*$C$9*Y29/$C$7</f>
        <v>-574764634.38209116</v>
      </c>
      <c r="CL62" s="1">
        <f>-$C$10*$C$9*Z29/$C$7</f>
        <v>-552772622.53349316</v>
      </c>
      <c r="CM62" s="1">
        <f>-$C$10*$C$9*AA29/$C$7</f>
        <v>-531407403.3624565</v>
      </c>
      <c r="CN62" s="1">
        <f>-$C$10*$C$9*AB29/$C$7</f>
        <v>-510629334.41449523</v>
      </c>
      <c r="CO62" s="1">
        <f>-$C$10*$C$9*AC29/$C$7</f>
        <v>-490391897.85685074</v>
      </c>
      <c r="CP62" s="1">
        <f>-$C$10*$C$9*AD29/$C$7</f>
        <v>-470642246.38188505</v>
      </c>
      <c r="CQ62" s="1">
        <f>-$C$10*$C$9*AE29/$C$7</f>
        <v>-451321822.89950132</v>
      </c>
      <c r="CR62" s="1">
        <f>-$C$10*$C$9*AF29/$C$7</f>
        <v>-432367046.7483114</v>
      </c>
      <c r="CS62" s="1">
        <f>-$C$10*$C$9*AG29/$C$7</f>
        <v>-413710058.39518183</v>
      </c>
      <c r="CT62" s="1">
        <f>-$C$10*$C$9*AH29/$C$7</f>
        <v>-395279513.92616981</v>
      </c>
      <c r="CU62" s="1">
        <f>-$C$10*$C$9*AI29/$C$7</f>
        <v>-377001420.06560153</v>
      </c>
      <c r="CV62" s="1">
        <f>-$C$10*$C$9*AJ29/$C$7</f>
        <v>-358800000</v>
      </c>
      <c r="CW62" s="2"/>
      <c r="CX62" s="2"/>
      <c r="CY62" s="1">
        <f>G29</f>
        <v>300</v>
      </c>
      <c r="CZ62" s="1">
        <f t="shared" si="3"/>
        <v>291.30187853019197</v>
      </c>
      <c r="DA62" s="1">
        <f t="shared" si="4"/>
        <v>282.624889876655</v>
      </c>
      <c r="DB62" s="1">
        <f t="shared" si="5"/>
        <v>273.98991857563027</v>
      </c>
      <c r="DC62" s="1">
        <f t="shared" si="6"/>
        <v>265.41735553833519</v>
      </c>
      <c r="DD62" s="1">
        <f t="shared" si="7"/>
        <v>256.92685854049955</v>
      </c>
      <c r="DE62" s="1">
        <f t="shared" si="8"/>
        <v>248.53712137531275</v>
      </c>
      <c r="DF62" s="1">
        <f t="shared" si="9"/>
        <v>240.26565439391061</v>
      </c>
      <c r="DG62" s="1">
        <f t="shared" si="10"/>
        <v>232.12857902001079</v>
      </c>
      <c r="DH62" s="1">
        <f t="shared" si="11"/>
        <v>224.14043865682709</v>
      </c>
      <c r="DI62" s="1">
        <f t="shared" si="12"/>
        <v>216.31402820713879</v>
      </c>
      <c r="DJ62" s="1">
        <f t="shared" si="13"/>
        <v>208.66024420391824</v>
      </c>
      <c r="DK62" s="1">
        <f t="shared" si="14"/>
        <v>201.18795730208939</v>
      </c>
      <c r="DL62" s="1">
        <f t="shared" si="15"/>
        <v>193.90390861494177</v>
      </c>
      <c r="DM62" s="1">
        <f t="shared" si="16"/>
        <v>186.81263109481284</v>
      </c>
      <c r="DN62" s="1">
        <f t="shared" si="17"/>
        <v>179.91639686041731</v>
      </c>
      <c r="DO62" s="1">
        <f t="shared" si="18"/>
        <v>173.21519106628767</v>
      </c>
      <c r="DP62" s="1">
        <f t="shared" si="19"/>
        <v>166.70671259693185</v>
      </c>
      <c r="DQ62" s="1">
        <f t="shared" si="20"/>
        <v>160.38640155324947</v>
      </c>
      <c r="DR62" s="1">
        <f t="shared" si="21"/>
        <v>154.24749318520375</v>
      </c>
      <c r="DS62" s="1">
        <f t="shared" si="22"/>
        <v>148.28109761636654</v>
      </c>
      <c r="DT62" s="1">
        <f t="shared" si="23"/>
        <v>142.47630440628092</v>
      </c>
      <c r="DU62" s="1">
        <f t="shared" si="24"/>
        <v>136.82031070900115</v>
      </c>
      <c r="DV62" s="1">
        <f t="shared" si="25"/>
        <v>131.29857151387867</v>
      </c>
      <c r="DW62" s="1">
        <f t="shared" si="26"/>
        <v>125.89497020065443</v>
      </c>
      <c r="DX62" s="1">
        <f t="shared" si="27"/>
        <v>120.5920074079406</v>
      </c>
      <c r="DY62" s="1">
        <f t="shared" si="28"/>
        <v>115.37100600471638</v>
      </c>
      <c r="DZ62" s="1">
        <f t="shared" si="29"/>
        <v>110.212329770737</v>
      </c>
      <c r="EA62" s="1">
        <f t="shared" si="30"/>
        <v>105.09561323567573</v>
      </c>
      <c r="EB62" s="1">
        <f>AJ29</f>
        <v>100</v>
      </c>
    </row>
    <row r="63" spans="4:132">
      <c r="D63" s="3"/>
      <c r="E63" s="3"/>
      <c r="F63" s="1">
        <v>2</v>
      </c>
      <c r="G63" s="1">
        <f>0</f>
        <v>0</v>
      </c>
      <c r="H63" s="1">
        <f>$C$16/($C$17-$C$18*G63)</f>
        <v>0.3415922014622258</v>
      </c>
      <c r="I63" s="1">
        <f>$C$16/($C$17-$C$18*H63)</f>
        <v>0.3867162803971414</v>
      </c>
      <c r="J63" s="1">
        <f>$C$16/($C$17-$C$18*I63)</f>
        <v>0.39358441341045353</v>
      </c>
      <c r="K63" s="1">
        <f>$C$16/($C$17-$C$18*J63)</f>
        <v>0.39465123071155611</v>
      </c>
      <c r="L63" s="1">
        <f>$C$16/($C$17-$C$18*K63)</f>
        <v>0.39481745705771337</v>
      </c>
      <c r="M63" s="1">
        <f>$C$16/($C$17-$C$18*L63)</f>
        <v>0.39484337025824801</v>
      </c>
      <c r="N63" s="1">
        <f>$C$16/($C$17-$C$18*M63)</f>
        <v>0.39484741020089792</v>
      </c>
      <c r="O63" s="1">
        <f>$C$16/($C$17-$C$18*N63)</f>
        <v>0.39484804004704999</v>
      </c>
      <c r="P63" s="1">
        <f>$C$16/($C$17-$C$18*O63)</f>
        <v>0.39484813824322279</v>
      </c>
      <c r="Q63" s="1">
        <f>$C$16/($C$17-$C$18*P63)</f>
        <v>0.39484815355250286</v>
      </c>
      <c r="R63" s="1">
        <f>$C$16/($C$17-$C$18*Q63)</f>
        <v>0.39484815593929717</v>
      </c>
      <c r="S63" s="1">
        <f>$C$16/($C$17-$C$18*R63)</f>
        <v>0.39484815631141046</v>
      </c>
      <c r="T63" s="1">
        <f>$C$16/($C$17-$C$18*S63)</f>
        <v>0.39484815636942483</v>
      </c>
      <c r="U63" s="1">
        <f>$C$16/($C$17-$C$18*T63)</f>
        <v>0.39484815637846954</v>
      </c>
      <c r="V63" s="1">
        <f>$C$16/($C$17-$C$18*U63)</f>
        <v>0.39484815637987963</v>
      </c>
      <c r="W63" s="1">
        <f>$C$16/($C$17-$C$18*V63)</f>
        <v>0.39484815638009951</v>
      </c>
      <c r="X63" s="1">
        <f>$C$16/($C$17-$C$18*W63)</f>
        <v>0.39484815638013382</v>
      </c>
      <c r="Y63" s="1">
        <f>$C$16/($C$17-$C$18*X63)</f>
        <v>0.39484815638013915</v>
      </c>
      <c r="Z63" s="1">
        <f>$C$16/($C$17-$C$18*Y63)</f>
        <v>0.39484815638013998</v>
      </c>
      <c r="AA63" s="1">
        <f>$C$16/($C$17-$C$18*Z63)</f>
        <v>0.39484815638014015</v>
      </c>
      <c r="AB63" s="1">
        <f>$C$16/($C$17-$C$18*AA63)</f>
        <v>0.39484815638014015</v>
      </c>
      <c r="AC63" s="1">
        <f>$C$16/($C$17-$C$18*AB63)</f>
        <v>0.39484815638014015</v>
      </c>
      <c r="AD63" s="1">
        <f>$C$16/($C$17-$C$18*AC63)</f>
        <v>0.39484815638014015</v>
      </c>
      <c r="AE63" s="1">
        <f>$C$16/($C$17-$C$18*AD63)</f>
        <v>0.39484815638014015</v>
      </c>
      <c r="AF63" s="1">
        <f>$C$16/($C$17-$C$18*AE63)</f>
        <v>0.39484815638014015</v>
      </c>
      <c r="AG63" s="1">
        <f>$C$16/($C$17-$C$18*AF63)</f>
        <v>0.39484815638014015</v>
      </c>
      <c r="AH63" s="1">
        <f>$C$16/($C$17-$C$18*AG63)</f>
        <v>0.39484815638014015</v>
      </c>
      <c r="AI63" s="1">
        <f>$C$16/($C$17-$C$18*AH63)</f>
        <v>0.39484815638014015</v>
      </c>
      <c r="AJ63" s="1">
        <f>$C$16/($C$17-$C$18*AI63)</f>
        <v>0.39484815638014015</v>
      </c>
      <c r="AK63" s="2"/>
      <c r="AL63" s="2"/>
      <c r="AM63" s="1">
        <f>G30</f>
        <v>300</v>
      </c>
      <c r="AN63" s="1">
        <f>(AM63*$C$18-BT63)/($C$17-$C$18*G63)</f>
        <v>194.75942020920627</v>
      </c>
      <c r="AO63" s="1">
        <f>(AN63*$C$18-BU63)/($C$17-$C$18*H63)</f>
        <v>176.66852769877164</v>
      </c>
      <c r="AP63" s="1">
        <f>(AO63*$C$18-BV63)/($C$17-$C$18*I63)</f>
        <v>169.52578438712084</v>
      </c>
      <c r="AQ63" s="1">
        <f>(AP63*$C$18-BW63)/($C$17-$C$18*J63)</f>
        <v>164.02085461247319</v>
      </c>
      <c r="AR63" s="1">
        <f>(AQ63*$C$18-BX63)/($C$17-$C$18*K63)</f>
        <v>158.80006429465431</v>
      </c>
      <c r="AS63" s="1">
        <f>(AR63*$C$18-BY63)/($C$17-$C$18*L63)</f>
        <v>153.66982063711765</v>
      </c>
      <c r="AT63" s="1">
        <f>(AS63*$C$18-BZ63)/($C$17-$C$18*M63)</f>
        <v>148.61028613424486</v>
      </c>
      <c r="AU63" s="1">
        <f>(AT63*$C$18-CA63)/($C$17-$C$18*N63)</f>
        <v>143.62716612107658</v>
      </c>
      <c r="AV63" s="1">
        <f>(AU63*$C$18-CB63)/($C$17-$C$18*O63)</f>
        <v>138.72924734334634</v>
      </c>
      <c r="AW63" s="1">
        <f>(AV63*$C$18-CC63)/($C$17-$C$18*P63)</f>
        <v>133.92491606340735</v>
      </c>
      <c r="AX63" s="1">
        <f>(AW63*$C$18-CD63)/($C$17-$C$18*Q63)</f>
        <v>129.22155026599418</v>
      </c>
      <c r="AY63" s="1">
        <f>(AX63*$C$18-CE63)/($C$17-$C$18*R63)</f>
        <v>124.62535648390343</v>
      </c>
      <c r="AZ63" s="1">
        <f>(AY63*$C$18-CF63)/($C$17-$C$18*S63)</f>
        <v>120.14128564063344</v>
      </c>
      <c r="BA63" s="1">
        <f>(AZ63*$C$18-CG63)/($C$17-$C$18*T63)</f>
        <v>115.77297349222</v>
      </c>
      <c r="BB63" s="1">
        <f>(BA63*$C$18-CH63)/($C$17-$C$18*U63)</f>
        <v>111.52269801090502</v>
      </c>
      <c r="BC63" s="1">
        <f>(BB63*$C$18-CI63)/($C$17-$C$18*V63)</f>
        <v>107.39135294120206</v>
      </c>
      <c r="BD63" s="1">
        <f>(BC63*$C$18-CJ63)/($C$17-$C$18*W63)</f>
        <v>103.37843763518748</v>
      </c>
      <c r="BE63" s="1">
        <f>(BD63*$C$18-CK63)/($C$17-$C$18*X63)</f>
        <v>99.482063242813695</v>
      </c>
      <c r="BF63" s="1">
        <f>(BE63*$C$18-CL63)/($C$17-$C$18*Y63)</f>
        <v>95.698975165357865</v>
      </c>
      <c r="BG63" s="1">
        <f>(BF63*$C$18-CM63)/($C$17-$C$18*Z63)</f>
        <v>92.024591493690863</v>
      </c>
      <c r="BH63" s="1">
        <f>(BG63*$C$18-CN63)/($C$17-$C$18*AA63)</f>
        <v>88.453056967473856</v>
      </c>
      <c r="BI63" s="1">
        <f>(BH63*$C$18-CO63)/($C$17-$C$18*AB63)</f>
        <v>84.977311811400185</v>
      </c>
      <c r="BJ63" s="1">
        <f>(BI63*$C$18-CP63)/($C$17-$C$18*AC63)</f>
        <v>81.589174632617585</v>
      </c>
      <c r="BK63" s="1">
        <f>(BJ63*$C$18-CQ63)/($C$17-$C$18*AD63)</f>
        <v>78.279438401448871</v>
      </c>
      <c r="BL63" s="1">
        <f>(BK63*$C$18-CR63)/($C$17-$C$18*AE63)</f>
        <v>75.03797838725626</v>
      </c>
      <c r="BM63" s="1">
        <f>(BL63*$C$18-CS63)/($C$17-$C$18*AF63)</f>
        <v>71.853870784380845</v>
      </c>
      <c r="BN63" s="1">
        <f>(BM63*$C$18-CT63)/($C$17-$C$18*AG63)</f>
        <v>68.715520640990178</v>
      </c>
      <c r="BO63" s="1">
        <f>(BN63*$C$18-CU63)/($C$17-$C$18*AH63)</f>
        <v>65.610797597661701</v>
      </c>
      <c r="BP63" s="1">
        <f>(BO63*$C$18-CV63)/($C$17-$C$18*AI63)</f>
        <v>62.527177853718776</v>
      </c>
      <c r="BQ63" s="2"/>
      <c r="BR63" s="2"/>
      <c r="BS63" s="1">
        <f>-$C$10*$C$9*G30/$C$7</f>
        <v>-1076400000</v>
      </c>
      <c r="BT63" s="1">
        <f>-$C$10*$C$9*H30/$C$7</f>
        <v>-1045109385.7533029</v>
      </c>
      <c r="BU63" s="1">
        <f>-$C$10*$C$9*I30/$C$7</f>
        <v>-1013895556.5475094</v>
      </c>
      <c r="BV63" s="1">
        <f>-$C$10*$C$9*J30/$C$7</f>
        <v>-982834395.24029708</v>
      </c>
      <c r="BW63" s="1">
        <f>-$C$10*$C$9*K30/$C$7</f>
        <v>-951999990.99129426</v>
      </c>
      <c r="BX63" s="1">
        <f>-$C$10*$C$9*L30/$C$7</f>
        <v>-921463768.95472705</v>
      </c>
      <c r="BY63" s="1">
        <f>-$C$10*$C$9*M30/$C$7</f>
        <v>-891293651.46163297</v>
      </c>
      <c r="BZ63" s="1">
        <f>-$C$10*$C$9*N30/$C$7</f>
        <v>-861553260.59256768</v>
      </c>
      <c r="CA63" s="1">
        <f>-$C$10*$C$9*O30/$C$7</f>
        <v>-832301171.54134226</v>
      </c>
      <c r="CB63" s="1">
        <f>-$C$10*$C$9*P30/$C$7</f>
        <v>-803590225.55734706</v>
      </c>
      <c r="CC63" s="1">
        <f>-$C$10*$C$9*Q30/$C$7</f>
        <v>-775466910.5364089</v>
      </c>
      <c r="CD63" s="1">
        <f>-$C$10*$C$9*R30/$C$7</f>
        <v>-747970816.51721442</v>
      </c>
      <c r="CE63" s="1">
        <f>-$C$10*$C$9*S30/$C$7</f>
        <v>-721134172.4425813</v>
      </c>
      <c r="CF63" s="1">
        <f>-$C$10*$C$9*T30/$C$7</f>
        <v>-694981469.57368255</v>
      </c>
      <c r="CG63" s="1">
        <f>-$C$10*$C$9*U30/$C$7</f>
        <v>-669529175.91300046</v>
      </c>
      <c r="CH63" s="1">
        <f>-$C$10*$C$9*V30/$C$7</f>
        <v>-644785544.91116476</v>
      </c>
      <c r="CI63" s="1">
        <f>-$C$10*$C$9*W30/$C$7</f>
        <v>-620750520.61722052</v>
      </c>
      <c r="CJ63" s="1">
        <f>-$C$10*$C$9*X30/$C$7</f>
        <v>-597415740.29483116</v>
      </c>
      <c r="CK63" s="1">
        <f>-$C$10*$C$9*Y30/$C$7</f>
        <v>-574764634.38209116</v>
      </c>
      <c r="CL63" s="1">
        <f>-$C$10*$C$9*Z30/$C$7</f>
        <v>-552772622.53349316</v>
      </c>
      <c r="CM63" s="1">
        <f>-$C$10*$C$9*AA30/$C$7</f>
        <v>-531407403.3624565</v>
      </c>
      <c r="CN63" s="1">
        <f>-$C$10*$C$9*AB30/$C$7</f>
        <v>-510629334.41449523</v>
      </c>
      <c r="CO63" s="1">
        <f>-$C$10*$C$9*AC30/$C$7</f>
        <v>-490391897.85685074</v>
      </c>
      <c r="CP63" s="1">
        <f>-$C$10*$C$9*AD30/$C$7</f>
        <v>-470642246.38188505</v>
      </c>
      <c r="CQ63" s="1">
        <f>-$C$10*$C$9*AE30/$C$7</f>
        <v>-451321822.89950138</v>
      </c>
      <c r="CR63" s="1">
        <f>-$C$10*$C$9*AF30/$C$7</f>
        <v>-432367046.7483114</v>
      </c>
      <c r="CS63" s="1">
        <f>-$C$10*$C$9*AG30/$C$7</f>
        <v>-413710058.39518183</v>
      </c>
      <c r="CT63" s="1">
        <f>-$C$10*$C$9*AH30/$C$7</f>
        <v>-395279513.92616975</v>
      </c>
      <c r="CU63" s="1">
        <f>-$C$10*$C$9*AI30/$C$7</f>
        <v>-377001420.06560153</v>
      </c>
      <c r="CV63" s="1">
        <f>-$C$10*$C$9*AJ30/$C$7</f>
        <v>-358800000</v>
      </c>
      <c r="CW63" s="2"/>
      <c r="CX63" s="2"/>
      <c r="CY63" s="1">
        <f>G30</f>
        <v>300</v>
      </c>
      <c r="CZ63" s="1">
        <f t="shared" si="3"/>
        <v>291.30187853019197</v>
      </c>
      <c r="DA63" s="1">
        <f t="shared" si="4"/>
        <v>282.624889876655</v>
      </c>
      <c r="DB63" s="1">
        <f t="shared" si="5"/>
        <v>273.98991857563027</v>
      </c>
      <c r="DC63" s="1">
        <f t="shared" si="6"/>
        <v>265.41735553833519</v>
      </c>
      <c r="DD63" s="1">
        <f t="shared" si="7"/>
        <v>256.92685854049955</v>
      </c>
      <c r="DE63" s="1">
        <f t="shared" si="8"/>
        <v>248.53712137531275</v>
      </c>
      <c r="DF63" s="1">
        <f t="shared" si="9"/>
        <v>240.26565439391061</v>
      </c>
      <c r="DG63" s="1">
        <f t="shared" si="10"/>
        <v>232.12857902001079</v>
      </c>
      <c r="DH63" s="1">
        <f t="shared" si="11"/>
        <v>224.14043865682709</v>
      </c>
      <c r="DI63" s="1">
        <f t="shared" si="12"/>
        <v>216.31402820713879</v>
      </c>
      <c r="DJ63" s="1">
        <f t="shared" si="13"/>
        <v>208.66024420391824</v>
      </c>
      <c r="DK63" s="1">
        <f t="shared" si="14"/>
        <v>201.18795730208939</v>
      </c>
      <c r="DL63" s="1">
        <f t="shared" si="15"/>
        <v>193.90390861494177</v>
      </c>
      <c r="DM63" s="1">
        <f t="shared" si="16"/>
        <v>186.81263109481284</v>
      </c>
      <c r="DN63" s="1">
        <f t="shared" si="17"/>
        <v>179.91639686041731</v>
      </c>
      <c r="DO63" s="1">
        <f t="shared" si="18"/>
        <v>173.21519106628773</v>
      </c>
      <c r="DP63" s="1">
        <f t="shared" si="19"/>
        <v>166.70671259693188</v>
      </c>
      <c r="DQ63" s="1">
        <f t="shared" si="20"/>
        <v>160.38640155324947</v>
      </c>
      <c r="DR63" s="1">
        <f t="shared" si="21"/>
        <v>154.24749318520375</v>
      </c>
      <c r="DS63" s="1">
        <f t="shared" si="22"/>
        <v>148.28109761636654</v>
      </c>
      <c r="DT63" s="1">
        <f t="shared" si="23"/>
        <v>142.47630440628092</v>
      </c>
      <c r="DU63" s="1">
        <f t="shared" si="24"/>
        <v>136.82031070900115</v>
      </c>
      <c r="DV63" s="1">
        <f t="shared" si="25"/>
        <v>131.29857151387867</v>
      </c>
      <c r="DW63" s="1">
        <f t="shared" si="26"/>
        <v>125.89497020065443</v>
      </c>
      <c r="DX63" s="1">
        <f t="shared" si="27"/>
        <v>120.5920074079406</v>
      </c>
      <c r="DY63" s="1">
        <f t="shared" si="28"/>
        <v>115.37100600471638</v>
      </c>
      <c r="DZ63" s="1">
        <f t="shared" si="29"/>
        <v>110.21232977073699</v>
      </c>
      <c r="EA63" s="1">
        <f t="shared" si="30"/>
        <v>105.09561323567571</v>
      </c>
      <c r="EB63" s="1">
        <f>AJ30</f>
        <v>100</v>
      </c>
    </row>
    <row r="64" spans="4:132">
      <c r="D64" s="3"/>
      <c r="E64" s="3"/>
      <c r="F64" s="1">
        <v>1</v>
      </c>
      <c r="G64" s="1">
        <f>0</f>
        <v>0</v>
      </c>
      <c r="H64" s="1">
        <f>$C$16/($C$17-$C$18*G64)</f>
        <v>0.3415922014622258</v>
      </c>
      <c r="I64" s="1">
        <f>$C$16/($C$17-$C$18*H64)</f>
        <v>0.3867162803971414</v>
      </c>
      <c r="J64" s="1">
        <f>$C$16/($C$17-$C$18*I64)</f>
        <v>0.39358441341045353</v>
      </c>
      <c r="K64" s="1">
        <f>$C$16/($C$17-$C$18*J64)</f>
        <v>0.39465123071155611</v>
      </c>
      <c r="L64" s="1">
        <f>$C$16/($C$17-$C$18*K64)</f>
        <v>0.39481745705771337</v>
      </c>
      <c r="M64" s="1">
        <f>$C$16/($C$17-$C$18*L64)</f>
        <v>0.39484337025824801</v>
      </c>
      <c r="N64" s="1">
        <f>$C$16/($C$17-$C$18*M64)</f>
        <v>0.39484741020089792</v>
      </c>
      <c r="O64" s="1">
        <f>$C$16/($C$17-$C$18*N64)</f>
        <v>0.39484804004704999</v>
      </c>
      <c r="P64" s="1">
        <f>$C$16/($C$17-$C$18*O64)</f>
        <v>0.39484813824322279</v>
      </c>
      <c r="Q64" s="1">
        <f>$C$16/($C$17-$C$18*P64)</f>
        <v>0.39484815355250286</v>
      </c>
      <c r="R64" s="1">
        <f>$C$16/($C$17-$C$18*Q64)</f>
        <v>0.39484815593929717</v>
      </c>
      <c r="S64" s="1">
        <f>$C$16/($C$17-$C$18*R64)</f>
        <v>0.39484815631141046</v>
      </c>
      <c r="T64" s="1">
        <f>$C$16/($C$17-$C$18*S64)</f>
        <v>0.39484815636942483</v>
      </c>
      <c r="U64" s="1">
        <f>$C$16/($C$17-$C$18*T64)</f>
        <v>0.39484815637846954</v>
      </c>
      <c r="V64" s="1">
        <f>$C$16/($C$17-$C$18*U64)</f>
        <v>0.39484815637987963</v>
      </c>
      <c r="W64" s="1">
        <f>$C$16/($C$17-$C$18*V64)</f>
        <v>0.39484815638009951</v>
      </c>
      <c r="X64" s="1">
        <f>$C$16/($C$17-$C$18*W64)</f>
        <v>0.39484815638013382</v>
      </c>
      <c r="Y64" s="1">
        <f>$C$16/($C$17-$C$18*X64)</f>
        <v>0.39484815638013915</v>
      </c>
      <c r="Z64" s="1">
        <f>$C$16/($C$17-$C$18*Y64)</f>
        <v>0.39484815638013998</v>
      </c>
      <c r="AA64" s="1">
        <f>$C$16/($C$17-$C$18*Z64)</f>
        <v>0.39484815638014015</v>
      </c>
      <c r="AB64" s="1">
        <f>$C$16/($C$17-$C$18*AA64)</f>
        <v>0.39484815638014015</v>
      </c>
      <c r="AC64" s="1">
        <f>$C$16/($C$17-$C$18*AB64)</f>
        <v>0.39484815638014015</v>
      </c>
      <c r="AD64" s="1">
        <f>$C$16/($C$17-$C$18*AC64)</f>
        <v>0.39484815638014015</v>
      </c>
      <c r="AE64" s="1">
        <f>$C$16/($C$17-$C$18*AD64)</f>
        <v>0.39484815638014015</v>
      </c>
      <c r="AF64" s="1">
        <f>$C$16/($C$17-$C$18*AE64)</f>
        <v>0.39484815638014015</v>
      </c>
      <c r="AG64" s="1">
        <f>$C$16/($C$17-$C$18*AF64)</f>
        <v>0.39484815638014015</v>
      </c>
      <c r="AH64" s="1">
        <f>$C$16/($C$17-$C$18*AG64)</f>
        <v>0.39484815638014015</v>
      </c>
      <c r="AI64" s="1">
        <f>$C$16/($C$17-$C$18*AH64)</f>
        <v>0.39484815638014015</v>
      </c>
      <c r="AJ64" s="1">
        <f>$C$16/($C$17-$C$18*AI64)</f>
        <v>0.39484815638014015</v>
      </c>
      <c r="AK64" s="2"/>
      <c r="AL64" s="2"/>
      <c r="AM64" s="1">
        <f>G31</f>
        <v>300</v>
      </c>
      <c r="AN64" s="1">
        <f>(AM64*$C$18-BT64)/($C$17-$C$18*G64)</f>
        <v>194.75942020920627</v>
      </c>
      <c r="AO64" s="1">
        <f>(AN64*$C$18-BU64)/($C$17-$C$18*H64)</f>
        <v>176.66852769877164</v>
      </c>
      <c r="AP64" s="1">
        <f>(AO64*$C$18-BV64)/($C$17-$C$18*I64)</f>
        <v>169.52578438712084</v>
      </c>
      <c r="AQ64" s="1">
        <f>(AP64*$C$18-BW64)/($C$17-$C$18*J64)</f>
        <v>164.02085461247319</v>
      </c>
      <c r="AR64" s="1">
        <f>(AQ64*$C$18-BX64)/($C$17-$C$18*K64)</f>
        <v>158.80006429465431</v>
      </c>
      <c r="AS64" s="1">
        <f>(AR64*$C$18-BY64)/($C$17-$C$18*L64)</f>
        <v>153.66982063711765</v>
      </c>
      <c r="AT64" s="1">
        <f>(AS64*$C$18-BZ64)/($C$17-$C$18*M64)</f>
        <v>148.61028613424486</v>
      </c>
      <c r="AU64" s="1">
        <f>(AT64*$C$18-CA64)/($C$17-$C$18*N64)</f>
        <v>143.62716612107658</v>
      </c>
      <c r="AV64" s="1">
        <f>(AU64*$C$18-CB64)/($C$17-$C$18*O64)</f>
        <v>138.72924734334634</v>
      </c>
      <c r="AW64" s="1">
        <f>(AV64*$C$18-CC64)/($C$17-$C$18*P64)</f>
        <v>133.92491606340735</v>
      </c>
      <c r="AX64" s="1">
        <f>(AW64*$C$18-CD64)/($C$17-$C$18*Q64)</f>
        <v>129.22155026599418</v>
      </c>
      <c r="AY64" s="1">
        <f>(AX64*$C$18-CE64)/($C$17-$C$18*R64)</f>
        <v>124.62535648390343</v>
      </c>
      <c r="AZ64" s="1">
        <f>(AY64*$C$18-CF64)/($C$17-$C$18*S64)</f>
        <v>120.14128564063344</v>
      </c>
      <c r="BA64" s="1">
        <f>(AZ64*$C$18-CG64)/($C$17-$C$18*T64)</f>
        <v>115.77297349222</v>
      </c>
      <c r="BB64" s="1">
        <f>(BA64*$C$18-CH64)/($C$17-$C$18*U64)</f>
        <v>111.52269801090502</v>
      </c>
      <c r="BC64" s="1">
        <f>(BB64*$C$18-CI64)/($C$17-$C$18*V64)</f>
        <v>107.39135294120206</v>
      </c>
      <c r="BD64" s="1">
        <f>(BC64*$C$18-CJ64)/($C$17-$C$18*W64)</f>
        <v>103.37843763518748</v>
      </c>
      <c r="BE64" s="1">
        <f>(BD64*$C$18-CK64)/($C$17-$C$18*X64)</f>
        <v>99.482063242813695</v>
      </c>
      <c r="BF64" s="1">
        <f>(BE64*$C$18-CL64)/($C$17-$C$18*Y64)</f>
        <v>95.698975165357865</v>
      </c>
      <c r="BG64" s="1">
        <f>(BF64*$C$18-CM64)/($C$17-$C$18*Z64)</f>
        <v>92.024591493690863</v>
      </c>
      <c r="BH64" s="1">
        <f>(BG64*$C$18-CN64)/($C$17-$C$18*AA64)</f>
        <v>88.453056967473856</v>
      </c>
      <c r="BI64" s="1">
        <f>(BH64*$C$18-CO64)/($C$17-$C$18*AB64)</f>
        <v>84.977311811400185</v>
      </c>
      <c r="BJ64" s="1">
        <f>(BI64*$C$18-CP64)/($C$17-$C$18*AC64)</f>
        <v>81.589174632617585</v>
      </c>
      <c r="BK64" s="1">
        <f>(BJ64*$C$18-CQ64)/($C$17-$C$18*AD64)</f>
        <v>78.279438401448871</v>
      </c>
      <c r="BL64" s="1">
        <f>(BK64*$C$18-CR64)/($C$17-$C$18*AE64)</f>
        <v>75.03797838725626</v>
      </c>
      <c r="BM64" s="1">
        <f>(BL64*$C$18-CS64)/($C$17-$C$18*AF64)</f>
        <v>71.853870784380845</v>
      </c>
      <c r="BN64" s="1">
        <f>(BM64*$C$18-CT64)/($C$17-$C$18*AG64)</f>
        <v>68.715520640990178</v>
      </c>
      <c r="BO64" s="1">
        <f>(BN64*$C$18-CU64)/($C$17-$C$18*AH64)</f>
        <v>65.610797597661701</v>
      </c>
      <c r="BP64" s="1">
        <f>(BO64*$C$18-CV64)/($C$17-$C$18*AI64)</f>
        <v>62.527177853718776</v>
      </c>
      <c r="BQ64" s="2"/>
      <c r="BR64" s="2"/>
      <c r="BS64" s="1">
        <f>-$C$10*$C$9*G31/$C$7</f>
        <v>-1076400000</v>
      </c>
      <c r="BT64" s="1">
        <f>-$C$10*$C$9*H31/$C$7</f>
        <v>-1045109385.7533029</v>
      </c>
      <c r="BU64" s="1">
        <f>-$C$10*$C$9*I31/$C$7</f>
        <v>-1013895556.5475094</v>
      </c>
      <c r="BV64" s="1">
        <f>-$C$10*$C$9*J31/$C$7</f>
        <v>-982834395.24029708</v>
      </c>
      <c r="BW64" s="1">
        <f>-$C$10*$C$9*K31/$C$7</f>
        <v>-951999990.99129426</v>
      </c>
      <c r="BX64" s="1">
        <f>-$C$10*$C$9*L31/$C$7</f>
        <v>-921463768.95472705</v>
      </c>
      <c r="BY64" s="1">
        <f>-$C$10*$C$9*M31/$C$7</f>
        <v>-891293651.46163297</v>
      </c>
      <c r="BZ64" s="1">
        <f>-$C$10*$C$9*N31/$C$7</f>
        <v>-861553260.59256768</v>
      </c>
      <c r="CA64" s="1">
        <f>-$C$10*$C$9*O31/$C$7</f>
        <v>-832301171.54134226</v>
      </c>
      <c r="CB64" s="1">
        <f>-$C$10*$C$9*P31/$C$7</f>
        <v>-803590225.55734706</v>
      </c>
      <c r="CC64" s="1">
        <f>-$C$10*$C$9*Q31/$C$7</f>
        <v>-775466910.5364089</v>
      </c>
      <c r="CD64" s="1">
        <f>-$C$10*$C$9*R31/$C$7</f>
        <v>-747970816.51721442</v>
      </c>
      <c r="CE64" s="1">
        <f>-$C$10*$C$9*S31/$C$7</f>
        <v>-721134172.4425813</v>
      </c>
      <c r="CF64" s="1">
        <f>-$C$10*$C$9*T31/$C$7</f>
        <v>-694981469.57368255</v>
      </c>
      <c r="CG64" s="1">
        <f>-$C$10*$C$9*U31/$C$7</f>
        <v>-669529175.91300046</v>
      </c>
      <c r="CH64" s="1">
        <f>-$C$10*$C$9*V31/$C$7</f>
        <v>-644785544.91116476</v>
      </c>
      <c r="CI64" s="1">
        <f>-$C$10*$C$9*W31/$C$7</f>
        <v>-620750520.61722052</v>
      </c>
      <c r="CJ64" s="1">
        <f>-$C$10*$C$9*X31/$C$7</f>
        <v>-597415740.29483116</v>
      </c>
      <c r="CK64" s="1">
        <f>-$C$10*$C$9*Y31/$C$7</f>
        <v>-574764634.38209116</v>
      </c>
      <c r="CL64" s="1">
        <f>-$C$10*$C$9*Z31/$C$7</f>
        <v>-552772622.53349316</v>
      </c>
      <c r="CM64" s="1">
        <f>-$C$10*$C$9*AA31/$C$7</f>
        <v>-531407403.3624565</v>
      </c>
      <c r="CN64" s="1">
        <f>-$C$10*$C$9*AB31/$C$7</f>
        <v>-510629334.41449523</v>
      </c>
      <c r="CO64" s="1">
        <f>-$C$10*$C$9*AC31/$C$7</f>
        <v>-490391897.85685074</v>
      </c>
      <c r="CP64" s="1">
        <f>-$C$10*$C$9*AD31/$C$7</f>
        <v>-470642246.38188505</v>
      </c>
      <c r="CQ64" s="1">
        <f>-$C$10*$C$9*AE31/$C$7</f>
        <v>-451321822.89950138</v>
      </c>
      <c r="CR64" s="1">
        <f>-$C$10*$C$9*AF31/$C$7</f>
        <v>-432367046.7483114</v>
      </c>
      <c r="CS64" s="1">
        <f>-$C$10*$C$9*AG31/$C$7</f>
        <v>-413710058.39518183</v>
      </c>
      <c r="CT64" s="1">
        <f>-$C$10*$C$9*AH31/$C$7</f>
        <v>-395279513.92616975</v>
      </c>
      <c r="CU64" s="1">
        <f>-$C$10*$C$9*AI31/$C$7</f>
        <v>-377001420.06560153</v>
      </c>
      <c r="CV64" s="1">
        <f>-$C$10*$C$9*AJ31/$C$7</f>
        <v>-358800000</v>
      </c>
      <c r="CW64" s="2"/>
      <c r="CX64" s="2"/>
      <c r="CY64" s="1">
        <f>G31</f>
        <v>300</v>
      </c>
      <c r="CZ64" s="1">
        <f t="shared" si="3"/>
        <v>291.30187853019197</v>
      </c>
      <c r="DA64" s="1">
        <f t="shared" si="4"/>
        <v>282.624889876655</v>
      </c>
      <c r="DB64" s="1">
        <f t="shared" si="5"/>
        <v>273.98991857563027</v>
      </c>
      <c r="DC64" s="1">
        <f t="shared" si="6"/>
        <v>265.41735553833519</v>
      </c>
      <c r="DD64" s="1">
        <f t="shared" si="7"/>
        <v>256.92685854049955</v>
      </c>
      <c r="DE64" s="1">
        <f t="shared" si="8"/>
        <v>248.53712137531275</v>
      </c>
      <c r="DF64" s="1">
        <f t="shared" si="9"/>
        <v>240.26565439391061</v>
      </c>
      <c r="DG64" s="1">
        <f t="shared" si="10"/>
        <v>232.12857902001079</v>
      </c>
      <c r="DH64" s="1">
        <f t="shared" si="11"/>
        <v>224.14043865682709</v>
      </c>
      <c r="DI64" s="1">
        <f t="shared" si="12"/>
        <v>216.31402820713879</v>
      </c>
      <c r="DJ64" s="1">
        <f t="shared" si="13"/>
        <v>208.66024420391824</v>
      </c>
      <c r="DK64" s="1">
        <f t="shared" si="14"/>
        <v>201.18795730208939</v>
      </c>
      <c r="DL64" s="1">
        <f t="shared" si="15"/>
        <v>193.90390861494177</v>
      </c>
      <c r="DM64" s="1">
        <f t="shared" si="16"/>
        <v>186.81263109481284</v>
      </c>
      <c r="DN64" s="1">
        <f t="shared" si="17"/>
        <v>179.91639686041731</v>
      </c>
      <c r="DO64" s="1">
        <f t="shared" si="18"/>
        <v>173.21519106628773</v>
      </c>
      <c r="DP64" s="1">
        <f t="shared" si="19"/>
        <v>166.70671259693188</v>
      </c>
      <c r="DQ64" s="1">
        <f t="shared" si="20"/>
        <v>160.38640155324947</v>
      </c>
      <c r="DR64" s="1">
        <f t="shared" si="21"/>
        <v>154.24749318520375</v>
      </c>
      <c r="DS64" s="1">
        <f t="shared" si="22"/>
        <v>148.28109761636654</v>
      </c>
      <c r="DT64" s="1">
        <f t="shared" si="23"/>
        <v>142.47630440628092</v>
      </c>
      <c r="DU64" s="1">
        <f t="shared" si="24"/>
        <v>136.82031070900115</v>
      </c>
      <c r="DV64" s="1">
        <f t="shared" si="25"/>
        <v>131.29857151387867</v>
      </c>
      <c r="DW64" s="1">
        <f t="shared" si="26"/>
        <v>125.89497020065443</v>
      </c>
      <c r="DX64" s="1">
        <f t="shared" si="27"/>
        <v>120.5920074079406</v>
      </c>
      <c r="DY64" s="1">
        <f t="shared" si="28"/>
        <v>115.37100600471638</v>
      </c>
      <c r="DZ64" s="1">
        <f t="shared" si="29"/>
        <v>110.21232977073699</v>
      </c>
      <c r="EA64" s="1">
        <f t="shared" si="30"/>
        <v>105.09561323567571</v>
      </c>
      <c r="EB64" s="1">
        <f>AJ31</f>
        <v>100</v>
      </c>
    </row>
    <row r="66" spans="4:132">
      <c r="D66" s="2" t="s">
        <v>17</v>
      </c>
      <c r="E66" s="2"/>
      <c r="F66" s="1"/>
      <c r="G66" s="1">
        <v>30</v>
      </c>
      <c r="H66" s="1">
        <v>29</v>
      </c>
      <c r="I66" s="1">
        <v>28</v>
      </c>
      <c r="J66" s="1">
        <v>27</v>
      </c>
      <c r="K66" s="1">
        <v>26</v>
      </c>
      <c r="L66" s="1">
        <v>25</v>
      </c>
      <c r="M66" s="1">
        <v>24</v>
      </c>
      <c r="N66" s="1">
        <v>23</v>
      </c>
      <c r="O66" s="1">
        <v>22</v>
      </c>
      <c r="P66" s="1">
        <v>21</v>
      </c>
      <c r="Q66" s="1">
        <v>20</v>
      </c>
      <c r="R66" s="1">
        <v>19</v>
      </c>
      <c r="S66" s="1">
        <v>18</v>
      </c>
      <c r="T66" s="1">
        <v>17</v>
      </c>
      <c r="U66" s="1">
        <v>16</v>
      </c>
      <c r="V66" s="1">
        <v>15</v>
      </c>
      <c r="W66" s="1">
        <v>14</v>
      </c>
      <c r="X66" s="1">
        <v>13</v>
      </c>
      <c r="Y66" s="1">
        <v>12</v>
      </c>
      <c r="Z66" s="1">
        <v>11</v>
      </c>
      <c r="AA66" s="1">
        <v>10</v>
      </c>
      <c r="AB66" s="1">
        <v>9</v>
      </c>
      <c r="AC66" s="1">
        <v>8</v>
      </c>
      <c r="AD66" s="1">
        <v>7</v>
      </c>
      <c r="AE66" s="1">
        <v>6</v>
      </c>
      <c r="AF66" s="1">
        <v>5</v>
      </c>
      <c r="AG66" s="1">
        <v>4</v>
      </c>
      <c r="AH66" s="1">
        <v>3</v>
      </c>
      <c r="AI66" s="1">
        <v>2</v>
      </c>
      <c r="AJ66" s="1">
        <v>1</v>
      </c>
      <c r="AK66" s="2" t="s">
        <v>19</v>
      </c>
      <c r="AL66" s="2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2" t="s">
        <v>21</v>
      </c>
      <c r="BR66" s="2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2" t="s">
        <v>23</v>
      </c>
      <c r="CX66" s="2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>
      <c r="D67" s="2"/>
      <c r="E67" s="2"/>
      <c r="F67" s="1">
        <v>30</v>
      </c>
      <c r="G67" s="1">
        <f>$C$20/($C$21-$C$22*G68)</f>
        <v>0.39484815638014015</v>
      </c>
      <c r="H67" s="1">
        <f>$C$20/($C$21-$C$22*H68)</f>
        <v>0.39484815638014015</v>
      </c>
      <c r="I67" s="1">
        <f>$C$20/($C$21-$C$22*I68)</f>
        <v>0.39484815638014015</v>
      </c>
      <c r="J67" s="1">
        <f>$C$20/($C$21-$C$22*J68)</f>
        <v>0.39484815638014015</v>
      </c>
      <c r="K67" s="1">
        <f>$C$20/($C$21-$C$22*K68)</f>
        <v>0.39484815638014015</v>
      </c>
      <c r="L67" s="1">
        <f>$C$20/($C$21-$C$22*L68)</f>
        <v>0.39484815638014015</v>
      </c>
      <c r="M67" s="1">
        <f>$C$20/($C$21-$C$22*M68)</f>
        <v>0.39484815638014015</v>
      </c>
      <c r="N67" s="1">
        <f>$C$20/($C$21-$C$22*N68)</f>
        <v>0.39484815638014015</v>
      </c>
      <c r="O67" s="1">
        <f>$C$20/($C$21-$C$22*O68)</f>
        <v>0.39484815638014015</v>
      </c>
      <c r="P67" s="1">
        <f>$C$20/($C$21-$C$22*P68)</f>
        <v>0.39484815638014015</v>
      </c>
      <c r="Q67" s="1">
        <f>$C$20/($C$21-$C$22*Q68)</f>
        <v>0.39484815638014015</v>
      </c>
      <c r="R67" s="1">
        <f>$C$20/($C$21-$C$22*R68)</f>
        <v>0.39484815638014015</v>
      </c>
      <c r="S67" s="1">
        <f>$C$20/($C$21-$C$22*S68)</f>
        <v>0.39484815638014015</v>
      </c>
      <c r="T67" s="1">
        <f>$C$20/($C$21-$C$22*T68)</f>
        <v>0.39484815638014015</v>
      </c>
      <c r="U67" s="1">
        <f>$C$20/($C$21-$C$22*U68)</f>
        <v>0.39484815638014015</v>
      </c>
      <c r="V67" s="1">
        <f>$C$20/($C$21-$C$22*V68)</f>
        <v>0.39484815638014015</v>
      </c>
      <c r="W67" s="1">
        <f>$C$20/($C$21-$C$22*W68)</f>
        <v>0.39484815638014015</v>
      </c>
      <c r="X67" s="1">
        <f>$C$20/($C$21-$C$22*X68)</f>
        <v>0.39484815638014015</v>
      </c>
      <c r="Y67" s="1">
        <f>$C$20/($C$21-$C$22*Y68)</f>
        <v>0.39484815638014015</v>
      </c>
      <c r="Z67" s="1">
        <f>$C$20/($C$21-$C$22*Z68)</f>
        <v>0.39484815638014015</v>
      </c>
      <c r="AA67" s="1">
        <f>$C$20/($C$21-$C$22*AA68)</f>
        <v>0.39484815638014015</v>
      </c>
      <c r="AB67" s="1">
        <f>$C$20/($C$21-$C$22*AB68)</f>
        <v>0.39484815638014015</v>
      </c>
      <c r="AC67" s="1">
        <f>$C$20/($C$21-$C$22*AC68)</f>
        <v>0.39484815638014015</v>
      </c>
      <c r="AD67" s="1">
        <f>$C$20/($C$21-$C$22*AD68)</f>
        <v>0.39484815638014015</v>
      </c>
      <c r="AE67" s="1">
        <f>$C$20/($C$21-$C$22*AE68)</f>
        <v>0.39484815638014015</v>
      </c>
      <c r="AF67" s="1">
        <f>$C$20/($C$21-$C$22*AF68)</f>
        <v>0.39484815638014015</v>
      </c>
      <c r="AG67" s="1">
        <f>$C$20/($C$21-$C$22*AG68)</f>
        <v>0.39484815638014015</v>
      </c>
      <c r="AH67" s="1">
        <f>$C$20/($C$21-$C$22*AH68)</f>
        <v>0.39484815638014015</v>
      </c>
      <c r="AI67" s="1">
        <f>$C$20/($C$21-$C$22*AI68)</f>
        <v>0.39484815638014015</v>
      </c>
      <c r="AJ67" s="1">
        <f>$C$20/($C$21-$C$22*AJ68)</f>
        <v>0.39484815638014015</v>
      </c>
      <c r="AK67" s="2"/>
      <c r="AL67" s="2"/>
      <c r="AM67" s="1">
        <f>(AM68*$C$22-BS67)/($C$21-$C$22*G68)</f>
        <v>181.54555308595795</v>
      </c>
      <c r="AN67" s="1">
        <f>(AN68*$C$22-BT67)/($C$21-$C$22*H68)</f>
        <v>176.28186884247407</v>
      </c>
      <c r="AO67" s="1">
        <f>(AO68*$C$22-BU67)/($C$21-$C$22*I68)</f>
        <v>171.03097316171753</v>
      </c>
      <c r="AP67" s="1">
        <f>(AP68*$C$22-BV67)/($C$21-$C$22*J68)</f>
        <v>165.80550435929777</v>
      </c>
      <c r="AQ67" s="1">
        <f>(AQ68*$C$22-BW67)/($C$21-$C$22*K68)</f>
        <v>160.61780203273113</v>
      </c>
      <c r="AR67" s="1">
        <f>(AR68*$C$22-BX67)/($C$21-$C$22*L68)</f>
        <v>155.479762121242</v>
      </c>
      <c r="AS67" s="1">
        <f>(AS68*$C$22-BY67)/($C$21-$C$22*M68)</f>
        <v>150.4026972082431</v>
      </c>
      <c r="AT67" s="1">
        <f>(AT68*$C$22-BZ67)/($C$21-$C$22*N68)</f>
        <v>145.39720371500678</v>
      </c>
      <c r="AU67" s="1">
        <f>(AU68*$C$22-CA67)/($C$21-$C$22*O68)</f>
        <v>140.47303755081751</v>
      </c>
      <c r="AV67" s="1">
        <f>(AV68*$C$22-CB67)/($C$21-$C$22*P68)</f>
        <v>135.63899968294268</v>
      </c>
      <c r="AW67" s="1">
        <f>(AW68*$C$22-CC67)/($C$21-$C$22*Q68)</f>
        <v>130.90283297038809</v>
      </c>
      <c r="AX67" s="1">
        <f>(AX68*$C$22-CD67)/($C$21-$C$22*R68)</f>
        <v>126.27113147017099</v>
      </c>
      <c r="AY67" s="1">
        <f>(AY68*$C$22-CE67)/($C$21-$C$22*S68)</f>
        <v>121.74926327547273</v>
      </c>
      <c r="AZ67" s="1">
        <f>(AZ68*$C$22-CF67)/($C$21-$C$22*T68)</f>
        <v>117.34130778342858</v>
      </c>
      <c r="BA67" s="1">
        <f>(BA68*$C$22-CG67)/($C$21-$C$22*U68)</f>
        <v>113.05000811850248</v>
      </c>
      <c r="BB67" s="1">
        <f>(BB68*$C$22-CH67)/($C$21-$C$22*V68)</f>
        <v>108.87673925752357</v>
      </c>
      <c r="BC67" s="1">
        <f>(BC68*$C$22-CI67)/($C$21-$C$22*W68)</f>
        <v>104.82149221672995</v>
      </c>
      <c r="BD67" s="1">
        <f>(BD68*$C$22-CJ67)/($C$21-$C$22*X68)</f>
        <v>100.8828744718391</v>
      </c>
      <c r="BE67" s="1">
        <f>(BE68*$C$22-CK67)/($C$21-$C$22*Y68)</f>
        <v>97.058126591503722</v>
      </c>
      <c r="BF67" s="1">
        <f>(BF68*$C$22-CL67)/($C$21-$C$22*Z68)</f>
        <v>93.343154874767492</v>
      </c>
      <c r="BG67" s="1">
        <f>(BG68*$C$22-CM67)/($C$21-$C$22*AA68)</f>
        <v>89.73257959652031</v>
      </c>
      <c r="BH67" s="1">
        <f>(BH68*$C$22-CN67)/($C$21-$C$22*AB68)</f>
        <v>86.219798283604987</v>
      </c>
      <c r="BI67" s="1">
        <f>(BI68*$C$22-CO67)/($C$21-$C$22*AC68)</f>
        <v>82.797063270193846</v>
      </c>
      <c r="BJ67" s="1">
        <f>(BJ68*$C$22-CP67)/($C$21-$C$22*AD68)</f>
        <v>79.45557261627745</v>
      </c>
      <c r="BK67" s="1">
        <f>(BK68*$C$22-CQ67)/($C$21-$C$22*AE68)</f>
        <v>76.185573319393143</v>
      </c>
      <c r="BL67" s="1">
        <f>(BL68*$C$22-CR67)/($C$21-$C$22*AF68)</f>
        <v>72.976475608734873</v>
      </c>
      <c r="BM67" s="1">
        <f>(BM68*$C$22-CS67)/($C$21-$C$22*AG68)</f>
        <v>69.816976984031896</v>
      </c>
      <c r="BN67" s="1">
        <f>(BN68*$C$22-CT67)/($C$21-$C$22*AH68)</f>
        <v>66.695194550401382</v>
      </c>
      <c r="BO67" s="1">
        <f>(BO68*$C$22-CU67)/($C$21-$C$22*AI68)</f>
        <v>63.598804105928856</v>
      </c>
      <c r="BP67" s="1">
        <f>(BP68*$C$22-CV67)/($C$21-$C$22*AJ68)</f>
        <v>60.51518436198598</v>
      </c>
      <c r="BQ67" s="2"/>
      <c r="BR67" s="2"/>
      <c r="BS67" s="1">
        <f>-$C$10*$C$9/$C$7*CY35</f>
        <v>-1076400000</v>
      </c>
      <c r="BT67" s="1">
        <f t="shared" ref="BT67:CT76" si="31">-$C$10*$C$9/$C$7*CZ35</f>
        <v>-1045191140.1663285</v>
      </c>
      <c r="BU67" s="1">
        <f t="shared" si="31"/>
        <v>-1014058104.8774376</v>
      </c>
      <c r="BV67" s="1">
        <f t="shared" si="31"/>
        <v>-983075827.84936035</v>
      </c>
      <c r="BW67" s="1">
        <f t="shared" si="31"/>
        <v>-952317471.67154539</v>
      </c>
      <c r="BX67" s="1">
        <f t="shared" si="31"/>
        <v>-921853568.44331098</v>
      </c>
      <c r="BY67" s="1">
        <f t="shared" si="31"/>
        <v>-891751191.49462056</v>
      </c>
      <c r="BZ67" s="1">
        <f t="shared" si="31"/>
        <v>-862073167.96534944</v>
      </c>
      <c r="CA67" s="1">
        <f t="shared" si="31"/>
        <v>-832877341.5237968</v>
      </c>
      <c r="CB67" s="1">
        <f t="shared" si="31"/>
        <v>-804215893.90069354</v>
      </c>
      <c r="CC67" s="1">
        <f t="shared" si="31"/>
        <v>-776134733.20721209</v>
      </c>
      <c r="CD67" s="1">
        <f t="shared" si="31"/>
        <v>-748672956.20365679</v>
      </c>
      <c r="CE67" s="1">
        <f t="shared" si="31"/>
        <v>-721862390.79989493</v>
      </c>
      <c r="CF67" s="1">
        <f t="shared" si="31"/>
        <v>-695727224.1104095</v>
      </c>
      <c r="CG67" s="1">
        <f t="shared" si="31"/>
        <v>-670283720.36818683</v>
      </c>
      <c r="CH67" s="1">
        <f t="shared" si="31"/>
        <v>-645540031.93517542</v>
      </c>
      <c r="CI67" s="1">
        <f t="shared" si="31"/>
        <v>-621496105.54583836</v>
      </c>
      <c r="CJ67" s="1">
        <f t="shared" si="31"/>
        <v>-598143684.79778957</v>
      </c>
      <c r="CK67" s="1">
        <f t="shared" si="31"/>
        <v>-575466408.7730571</v>
      </c>
      <c r="CL67" s="1">
        <f t="shared" si="31"/>
        <v>-553440005.54850912</v>
      </c>
      <c r="CM67" s="1">
        <f t="shared" si="31"/>
        <v>-532032578.24752128</v>
      </c>
      <c r="CN67" s="1">
        <f t="shared" si="31"/>
        <v>-511204980.20973432</v>
      </c>
      <c r="CO67" s="1">
        <f t="shared" si="31"/>
        <v>-490911274.82389468</v>
      </c>
      <c r="CP67" s="1">
        <f t="shared" si="31"/>
        <v>-471099274.59179527</v>
      </c>
      <c r="CQ67" s="1">
        <f t="shared" si="31"/>
        <v>-451711153.07994688</v>
      </c>
      <c r="CR67" s="1">
        <f t="shared" si="31"/>
        <v>-432684122.57968986</v>
      </c>
      <c r="CS67" s="1">
        <f t="shared" si="31"/>
        <v>-413951169.54492158</v>
      </c>
      <c r="CT67" s="1">
        <f t="shared" si="31"/>
        <v>-395441839.21740377</v>
      </c>
      <c r="CU67" s="1">
        <f>-$C$10*$C$9/$C$7*EA35</f>
        <v>-377083060.28960419</v>
      </c>
      <c r="CV67" s="1">
        <f t="shared" ref="CV67:CV96" si="32">-$C$10*$C$9/$C$7*EB35</f>
        <v>-358800000</v>
      </c>
      <c r="CW67" s="2"/>
      <c r="CX67" s="2"/>
      <c r="CY67" s="1">
        <f>AM68/(1-G68)</f>
        <v>300</v>
      </c>
      <c r="CZ67" s="1">
        <f t="shared" ref="CZ67:EB67" si="33">AN68/(1-H68)</f>
        <v>291.30187853019186</v>
      </c>
      <c r="DA67" s="1">
        <f t="shared" si="33"/>
        <v>282.62488987665483</v>
      </c>
      <c r="DB67" s="1">
        <f t="shared" si="33"/>
        <v>273.98991857562999</v>
      </c>
      <c r="DC67" s="1">
        <f t="shared" si="33"/>
        <v>265.41735553833479</v>
      </c>
      <c r="DD67" s="1">
        <f t="shared" si="33"/>
        <v>256.92685854049915</v>
      </c>
      <c r="DE67" s="1">
        <f t="shared" si="33"/>
        <v>248.53712137531227</v>
      </c>
      <c r="DF67" s="1">
        <f t="shared" si="33"/>
        <v>240.2656543939101</v>
      </c>
      <c r="DG67" s="1">
        <f t="shared" si="33"/>
        <v>232.12857902001022</v>
      </c>
      <c r="DH67" s="1">
        <f t="shared" si="33"/>
        <v>224.14043865682655</v>
      </c>
      <c r="DI67" s="1">
        <f t="shared" si="33"/>
        <v>216.31402820713828</v>
      </c>
      <c r="DJ67" s="1">
        <f t="shared" si="33"/>
        <v>208.66024420391773</v>
      </c>
      <c r="DK67" s="1">
        <f t="shared" si="33"/>
        <v>201.18795730208888</v>
      </c>
      <c r="DL67" s="1">
        <f t="shared" si="33"/>
        <v>193.90390861494134</v>
      </c>
      <c r="DM67" s="1">
        <f t="shared" si="33"/>
        <v>186.81263109481239</v>
      </c>
      <c r="DN67" s="1">
        <f t="shared" si="33"/>
        <v>179.91639686041677</v>
      </c>
      <c r="DO67" s="1">
        <f t="shared" si="33"/>
        <v>173.21519106628716</v>
      </c>
      <c r="DP67" s="1">
        <f t="shared" si="33"/>
        <v>166.70671259693131</v>
      </c>
      <c r="DQ67" s="1">
        <f t="shared" si="33"/>
        <v>160.3864015532489</v>
      </c>
      <c r="DR67" s="1">
        <f t="shared" si="33"/>
        <v>154.24749318520321</v>
      </c>
      <c r="DS67" s="1">
        <f t="shared" si="33"/>
        <v>148.28109761636603</v>
      </c>
      <c r="DT67" s="1">
        <f t="shared" si="33"/>
        <v>142.47630440628046</v>
      </c>
      <c r="DU67" s="1">
        <f t="shared" si="33"/>
        <v>136.82031070900072</v>
      </c>
      <c r="DV67" s="1">
        <f t="shared" si="33"/>
        <v>131.29857151387827</v>
      </c>
      <c r="DW67" s="1">
        <f t="shared" si="33"/>
        <v>125.8949702006541</v>
      </c>
      <c r="DX67" s="1">
        <f t="shared" si="33"/>
        <v>120.5920074079403</v>
      </c>
      <c r="DY67" s="1">
        <f t="shared" si="33"/>
        <v>115.37100600471615</v>
      </c>
      <c r="DZ67" s="1">
        <f t="shared" si="33"/>
        <v>110.21232977073687</v>
      </c>
      <c r="EA67" s="1">
        <f t="shared" si="33"/>
        <v>105.09561323567564</v>
      </c>
      <c r="EB67" s="1">
        <f t="shared" si="33"/>
        <v>99.999999999999986</v>
      </c>
    </row>
    <row r="68" spans="4:132">
      <c r="D68" s="2"/>
      <c r="E68" s="2"/>
      <c r="F68" s="1">
        <v>29</v>
      </c>
      <c r="G68" s="1">
        <f>$C$20/($C$21-$C$22*G69)</f>
        <v>0.39484815638014015</v>
      </c>
      <c r="H68" s="1">
        <f>$C$20/($C$21-$C$22*H69)</f>
        <v>0.39484815638014015</v>
      </c>
      <c r="I68" s="1">
        <f>$C$20/($C$21-$C$22*I69)</f>
        <v>0.39484815638014015</v>
      </c>
      <c r="J68" s="1">
        <f>$C$20/($C$21-$C$22*J69)</f>
        <v>0.39484815638014015</v>
      </c>
      <c r="K68" s="1">
        <f>$C$20/($C$21-$C$22*K69)</f>
        <v>0.39484815638014015</v>
      </c>
      <c r="L68" s="1">
        <f>$C$20/($C$21-$C$22*L69)</f>
        <v>0.39484815638014015</v>
      </c>
      <c r="M68" s="1">
        <f>$C$20/($C$21-$C$22*M69)</f>
        <v>0.39484815638014015</v>
      </c>
      <c r="N68" s="1">
        <f>$C$20/($C$21-$C$22*N69)</f>
        <v>0.39484815638014015</v>
      </c>
      <c r="O68" s="1">
        <f>$C$20/($C$21-$C$22*O69)</f>
        <v>0.39484815638014015</v>
      </c>
      <c r="P68" s="1">
        <f>$C$20/($C$21-$C$22*P69)</f>
        <v>0.39484815638014015</v>
      </c>
      <c r="Q68" s="1">
        <f>$C$20/($C$21-$C$22*Q69)</f>
        <v>0.39484815638014015</v>
      </c>
      <c r="R68" s="1">
        <f>$C$20/($C$21-$C$22*R69)</f>
        <v>0.39484815638014015</v>
      </c>
      <c r="S68" s="1">
        <f>$C$20/($C$21-$C$22*S69)</f>
        <v>0.39484815638014015</v>
      </c>
      <c r="T68" s="1">
        <f>$C$20/($C$21-$C$22*T69)</f>
        <v>0.39484815638014015</v>
      </c>
      <c r="U68" s="1">
        <f>$C$20/($C$21-$C$22*U69)</f>
        <v>0.39484815638014015</v>
      </c>
      <c r="V68" s="1">
        <f>$C$20/($C$21-$C$22*V69)</f>
        <v>0.39484815638014015</v>
      </c>
      <c r="W68" s="1">
        <f>$C$20/($C$21-$C$22*W69)</f>
        <v>0.39484815638014015</v>
      </c>
      <c r="X68" s="1">
        <f>$C$20/($C$21-$C$22*X69)</f>
        <v>0.39484815638014015</v>
      </c>
      <c r="Y68" s="1">
        <f>$C$20/($C$21-$C$22*Y69)</f>
        <v>0.39484815638014015</v>
      </c>
      <c r="Z68" s="1">
        <f>$C$20/($C$21-$C$22*Z69)</f>
        <v>0.39484815638014015</v>
      </c>
      <c r="AA68" s="1">
        <f>$C$20/($C$21-$C$22*AA69)</f>
        <v>0.39484815638014015</v>
      </c>
      <c r="AB68" s="1">
        <f>$C$20/($C$21-$C$22*AB69)</f>
        <v>0.39484815638014015</v>
      </c>
      <c r="AC68" s="1">
        <f>$C$20/($C$21-$C$22*AC69)</f>
        <v>0.39484815638014015</v>
      </c>
      <c r="AD68" s="1">
        <f>$C$20/($C$21-$C$22*AD69)</f>
        <v>0.39484815638014015</v>
      </c>
      <c r="AE68" s="1">
        <f>$C$20/($C$21-$C$22*AE69)</f>
        <v>0.39484815638014015</v>
      </c>
      <c r="AF68" s="1">
        <f>$C$20/($C$21-$C$22*AF69)</f>
        <v>0.39484815638014015</v>
      </c>
      <c r="AG68" s="1">
        <f>$C$20/($C$21-$C$22*AG69)</f>
        <v>0.39484815638014015</v>
      </c>
      <c r="AH68" s="1">
        <f>$C$20/($C$21-$C$22*AH69)</f>
        <v>0.39484815638014015</v>
      </c>
      <c r="AI68" s="1">
        <f>$C$20/($C$21-$C$22*AI69)</f>
        <v>0.39484815638014015</v>
      </c>
      <c r="AJ68" s="1">
        <f>$C$20/($C$21-$C$22*AJ69)</f>
        <v>0.39484815638014015</v>
      </c>
      <c r="AK68" s="2"/>
      <c r="AL68" s="2"/>
      <c r="AM68" s="1">
        <f>(AM69*$C$22-BS68)/($C$21-$C$22*G69)</f>
        <v>181.54555308595795</v>
      </c>
      <c r="AN68" s="1">
        <f>(AN69*$C$22-BT68)/($C$21-$C$22*H69)</f>
        <v>176.28186884247407</v>
      </c>
      <c r="AO68" s="1">
        <f>(AO69*$C$22-BU68)/($C$21-$C$22*I69)</f>
        <v>171.03097316171753</v>
      </c>
      <c r="AP68" s="1">
        <f>(AP69*$C$22-BV68)/($C$21-$C$22*J69)</f>
        <v>165.80550435929777</v>
      </c>
      <c r="AQ68" s="1">
        <f>(AQ69*$C$22-BW68)/($C$21-$C$22*K69)</f>
        <v>160.61780203273113</v>
      </c>
      <c r="AR68" s="1">
        <f>(AR69*$C$22-BX68)/($C$21-$C$22*L69)</f>
        <v>155.479762121242</v>
      </c>
      <c r="AS68" s="1">
        <f>(AS69*$C$22-BY68)/($C$21-$C$22*M69)</f>
        <v>150.4026972082431</v>
      </c>
      <c r="AT68" s="1">
        <f>(AT69*$C$22-BZ68)/($C$21-$C$22*N69)</f>
        <v>145.39720371500678</v>
      </c>
      <c r="AU68" s="1">
        <f>(AU69*$C$22-CA68)/($C$21-$C$22*O69)</f>
        <v>140.47303755081751</v>
      </c>
      <c r="AV68" s="1">
        <f>(AV69*$C$22-CB68)/($C$21-$C$22*P69)</f>
        <v>135.63899968294268</v>
      </c>
      <c r="AW68" s="1">
        <f>(AW69*$C$22-CC68)/($C$21-$C$22*Q69)</f>
        <v>130.90283297038809</v>
      </c>
      <c r="AX68" s="1">
        <f>(AX69*$C$22-CD68)/($C$21-$C$22*R69)</f>
        <v>126.27113147017099</v>
      </c>
      <c r="AY68" s="1">
        <f>(AY69*$C$22-CE68)/($C$21-$C$22*S69)</f>
        <v>121.74926327547273</v>
      </c>
      <c r="AZ68" s="1">
        <f>(AZ69*$C$22-CF68)/($C$21-$C$22*T69)</f>
        <v>117.34130778342858</v>
      </c>
      <c r="BA68" s="1">
        <f>(BA69*$C$22-CG68)/($C$21-$C$22*U69)</f>
        <v>113.05000811850248</v>
      </c>
      <c r="BB68" s="1">
        <f>(BB69*$C$22-CH68)/($C$21-$C$22*V69)</f>
        <v>108.87673925752357</v>
      </c>
      <c r="BC68" s="1">
        <f>(BC69*$C$22-CI68)/($C$21-$C$22*W69)</f>
        <v>104.82149221672995</v>
      </c>
      <c r="BD68" s="1">
        <f>(BD69*$C$22-CJ68)/($C$21-$C$22*X69)</f>
        <v>100.8828744718391</v>
      </c>
      <c r="BE68" s="1">
        <f>(BE69*$C$22-CK68)/($C$21-$C$22*Y69)</f>
        <v>97.058126591503722</v>
      </c>
      <c r="BF68" s="1">
        <f>(BF69*$C$22-CL68)/($C$21-$C$22*Z69)</f>
        <v>93.343154874767492</v>
      </c>
      <c r="BG68" s="1">
        <f>(BG69*$C$22-CM68)/($C$21-$C$22*AA69)</f>
        <v>89.73257959652031</v>
      </c>
      <c r="BH68" s="1">
        <f>(BH69*$C$22-CN68)/($C$21-$C$22*AB69)</f>
        <v>86.219798283604987</v>
      </c>
      <c r="BI68" s="1">
        <f>(BI69*$C$22-CO68)/($C$21-$C$22*AC69)</f>
        <v>82.797063270193846</v>
      </c>
      <c r="BJ68" s="1">
        <f>(BJ69*$C$22-CP68)/($C$21-$C$22*AD69)</f>
        <v>79.45557261627745</v>
      </c>
      <c r="BK68" s="1">
        <f>(BK69*$C$22-CQ68)/($C$21-$C$22*AE69)</f>
        <v>76.185573319393143</v>
      </c>
      <c r="BL68" s="1">
        <f>(BL69*$C$22-CR68)/($C$21-$C$22*AF69)</f>
        <v>72.976475608734873</v>
      </c>
      <c r="BM68" s="1">
        <f>(BM69*$C$22-CS68)/($C$21-$C$22*AG69)</f>
        <v>69.816976984031896</v>
      </c>
      <c r="BN68" s="1">
        <f>(BN69*$C$22-CT68)/($C$21-$C$22*AH69)</f>
        <v>66.695194550401382</v>
      </c>
      <c r="BO68" s="1">
        <f>(BO69*$C$22-CU68)/($C$21-$C$22*AI69)</f>
        <v>63.598804105928856</v>
      </c>
      <c r="BP68" s="1">
        <f>(BP69*$C$22-CV68)/($C$21-$C$22*AJ69)</f>
        <v>60.51518436198598</v>
      </c>
      <c r="BQ68" s="2"/>
      <c r="BR68" s="2"/>
      <c r="BS68" s="1">
        <f t="shared" ref="BS68:BS96" si="34">-$C$10*$C$9/$C$7*CY36</f>
        <v>-1076400000</v>
      </c>
      <c r="BT68" s="1">
        <f t="shared" si="31"/>
        <v>-1045191140.1663285</v>
      </c>
      <c r="BU68" s="1">
        <f t="shared" si="31"/>
        <v>-1014058104.8774376</v>
      </c>
      <c r="BV68" s="1">
        <f t="shared" si="31"/>
        <v>-983075827.84936035</v>
      </c>
      <c r="BW68" s="1">
        <f t="shared" si="31"/>
        <v>-952317471.67154539</v>
      </c>
      <c r="BX68" s="1">
        <f t="shared" si="31"/>
        <v>-921853568.44331098</v>
      </c>
      <c r="BY68" s="1">
        <f t="shared" si="31"/>
        <v>-891751191.49462056</v>
      </c>
      <c r="BZ68" s="1">
        <f t="shared" si="31"/>
        <v>-862073167.96534944</v>
      </c>
      <c r="CA68" s="1">
        <f t="shared" si="31"/>
        <v>-832877341.5237968</v>
      </c>
      <c r="CB68" s="1">
        <f t="shared" si="31"/>
        <v>-804215893.90069354</v>
      </c>
      <c r="CC68" s="1">
        <f t="shared" si="31"/>
        <v>-776134733.20721209</v>
      </c>
      <c r="CD68" s="1">
        <f t="shared" si="31"/>
        <v>-748672956.20365679</v>
      </c>
      <c r="CE68" s="1">
        <f t="shared" si="31"/>
        <v>-721862390.79989493</v>
      </c>
      <c r="CF68" s="1">
        <f t="shared" si="31"/>
        <v>-695727224.1104095</v>
      </c>
      <c r="CG68" s="1">
        <f t="shared" si="31"/>
        <v>-670283720.36818683</v>
      </c>
      <c r="CH68" s="1">
        <f t="shared" si="31"/>
        <v>-645540031.93517542</v>
      </c>
      <c r="CI68" s="1">
        <f t="shared" si="31"/>
        <v>-621496105.54583836</v>
      </c>
      <c r="CJ68" s="1">
        <f t="shared" si="31"/>
        <v>-598143684.79778957</v>
      </c>
      <c r="CK68" s="1">
        <f t="shared" si="31"/>
        <v>-575466408.7730571</v>
      </c>
      <c r="CL68" s="1">
        <f t="shared" si="31"/>
        <v>-553440005.54850912</v>
      </c>
      <c r="CM68" s="1">
        <f t="shared" si="31"/>
        <v>-532032578.24752128</v>
      </c>
      <c r="CN68" s="1">
        <f t="shared" si="31"/>
        <v>-511204980.20973432</v>
      </c>
      <c r="CO68" s="1">
        <f t="shared" si="31"/>
        <v>-490911274.82389468</v>
      </c>
      <c r="CP68" s="1">
        <f t="shared" si="31"/>
        <v>-471099274.59179527</v>
      </c>
      <c r="CQ68" s="1">
        <f t="shared" si="31"/>
        <v>-451711153.07994688</v>
      </c>
      <c r="CR68" s="1">
        <f t="shared" si="31"/>
        <v>-432684122.57968986</v>
      </c>
      <c r="CS68" s="1">
        <f t="shared" si="31"/>
        <v>-413951169.54492158</v>
      </c>
      <c r="CT68" s="1">
        <f t="shared" si="31"/>
        <v>-395441839.21740377</v>
      </c>
      <c r="CU68" s="1">
        <f t="shared" ref="CU68:CU96" si="35">-$C$10*$C$9/$C$7*EA36</f>
        <v>-377083060.28960419</v>
      </c>
      <c r="CV68" s="1">
        <f t="shared" si="32"/>
        <v>-358800000</v>
      </c>
      <c r="CW68" s="2"/>
      <c r="CX68" s="2"/>
      <c r="CY68" s="1">
        <f>G68*CY67+AM68</f>
        <v>300</v>
      </c>
      <c r="CZ68" s="1">
        <f t="shared" ref="CZ68:EB76" si="36">H68*CZ67+AN68</f>
        <v>291.30187853019186</v>
      </c>
      <c r="DA68" s="1">
        <f t="shared" si="36"/>
        <v>282.62488987665483</v>
      </c>
      <c r="DB68" s="1">
        <f t="shared" si="36"/>
        <v>273.98991857562999</v>
      </c>
      <c r="DC68" s="1">
        <f t="shared" si="36"/>
        <v>265.41735553833479</v>
      </c>
      <c r="DD68" s="1">
        <f t="shared" si="36"/>
        <v>256.92685854049915</v>
      </c>
      <c r="DE68" s="1">
        <f t="shared" si="36"/>
        <v>248.53712137531227</v>
      </c>
      <c r="DF68" s="1">
        <f t="shared" si="36"/>
        <v>240.2656543939101</v>
      </c>
      <c r="DG68" s="1">
        <f t="shared" si="36"/>
        <v>232.12857902001022</v>
      </c>
      <c r="DH68" s="1">
        <f t="shared" si="36"/>
        <v>224.14043865682655</v>
      </c>
      <c r="DI68" s="1">
        <f t="shared" si="36"/>
        <v>216.31402820713828</v>
      </c>
      <c r="DJ68" s="1">
        <f t="shared" si="36"/>
        <v>208.66024420391773</v>
      </c>
      <c r="DK68" s="1">
        <f t="shared" si="36"/>
        <v>201.18795730208888</v>
      </c>
      <c r="DL68" s="1">
        <f t="shared" si="36"/>
        <v>193.90390861494134</v>
      </c>
      <c r="DM68" s="1">
        <f t="shared" si="36"/>
        <v>186.81263109481239</v>
      </c>
      <c r="DN68" s="1">
        <f t="shared" si="36"/>
        <v>179.91639686041677</v>
      </c>
      <c r="DO68" s="1">
        <f t="shared" si="36"/>
        <v>173.21519106628716</v>
      </c>
      <c r="DP68" s="1">
        <f t="shared" si="36"/>
        <v>166.70671259693131</v>
      </c>
      <c r="DQ68" s="1">
        <f t="shared" si="36"/>
        <v>160.3864015532489</v>
      </c>
      <c r="DR68" s="1">
        <f t="shared" si="36"/>
        <v>154.24749318520321</v>
      </c>
      <c r="DS68" s="1">
        <f t="shared" si="36"/>
        <v>148.28109761636603</v>
      </c>
      <c r="DT68" s="1">
        <f t="shared" si="36"/>
        <v>142.47630440628046</v>
      </c>
      <c r="DU68" s="1">
        <f t="shared" si="36"/>
        <v>136.82031070900072</v>
      </c>
      <c r="DV68" s="1">
        <f t="shared" si="36"/>
        <v>131.29857151387827</v>
      </c>
      <c r="DW68" s="1">
        <f t="shared" si="36"/>
        <v>125.8949702006541</v>
      </c>
      <c r="DX68" s="1">
        <f t="shared" si="36"/>
        <v>120.5920074079403</v>
      </c>
      <c r="DY68" s="1">
        <f t="shared" si="36"/>
        <v>115.37100600471615</v>
      </c>
      <c r="DZ68" s="1">
        <f t="shared" si="36"/>
        <v>110.21232977073687</v>
      </c>
      <c r="EA68" s="1">
        <f t="shared" si="36"/>
        <v>105.09561323567564</v>
      </c>
      <c r="EB68" s="1">
        <f t="shared" si="36"/>
        <v>100</v>
      </c>
    </row>
    <row r="69" spans="4:132">
      <c r="D69" s="2"/>
      <c r="E69" s="2"/>
      <c r="F69" s="1">
        <v>28</v>
      </c>
      <c r="G69" s="1">
        <f>$C$20/($C$21-$C$22*G70)</f>
        <v>0.39484815638014015</v>
      </c>
      <c r="H69" s="1">
        <f>$C$20/($C$21-$C$22*H70)</f>
        <v>0.39484815638014015</v>
      </c>
      <c r="I69" s="1">
        <f>$C$20/($C$21-$C$22*I70)</f>
        <v>0.39484815638014015</v>
      </c>
      <c r="J69" s="1">
        <f>$C$20/($C$21-$C$22*J70)</f>
        <v>0.39484815638014015</v>
      </c>
      <c r="K69" s="1">
        <f>$C$20/($C$21-$C$22*K70)</f>
        <v>0.39484815638014015</v>
      </c>
      <c r="L69" s="1">
        <f>$C$20/($C$21-$C$22*L70)</f>
        <v>0.39484815638014015</v>
      </c>
      <c r="M69" s="1">
        <f>$C$20/($C$21-$C$22*M70)</f>
        <v>0.39484815638014015</v>
      </c>
      <c r="N69" s="1">
        <f>$C$20/($C$21-$C$22*N70)</f>
        <v>0.39484815638014015</v>
      </c>
      <c r="O69" s="1">
        <f>$C$20/($C$21-$C$22*O70)</f>
        <v>0.39484815638014015</v>
      </c>
      <c r="P69" s="1">
        <f>$C$20/($C$21-$C$22*P70)</f>
        <v>0.39484815638014015</v>
      </c>
      <c r="Q69" s="1">
        <f>$C$20/($C$21-$C$22*Q70)</f>
        <v>0.39484815638014015</v>
      </c>
      <c r="R69" s="1">
        <f>$C$20/($C$21-$C$22*R70)</f>
        <v>0.39484815638014015</v>
      </c>
      <c r="S69" s="1">
        <f>$C$20/($C$21-$C$22*S70)</f>
        <v>0.39484815638014015</v>
      </c>
      <c r="T69" s="1">
        <f>$C$20/($C$21-$C$22*T70)</f>
        <v>0.39484815638014015</v>
      </c>
      <c r="U69" s="1">
        <f>$C$20/($C$21-$C$22*U70)</f>
        <v>0.39484815638014015</v>
      </c>
      <c r="V69" s="1">
        <f>$C$20/($C$21-$C$22*V70)</f>
        <v>0.39484815638014015</v>
      </c>
      <c r="W69" s="1">
        <f>$C$20/($C$21-$C$22*W70)</f>
        <v>0.39484815638014015</v>
      </c>
      <c r="X69" s="1">
        <f>$C$20/($C$21-$C$22*X70)</f>
        <v>0.39484815638014015</v>
      </c>
      <c r="Y69" s="1">
        <f>$C$20/($C$21-$C$22*Y70)</f>
        <v>0.39484815638014015</v>
      </c>
      <c r="Z69" s="1">
        <f>$C$20/($C$21-$C$22*Z70)</f>
        <v>0.39484815638014015</v>
      </c>
      <c r="AA69" s="1">
        <f>$C$20/($C$21-$C$22*AA70)</f>
        <v>0.39484815638014015</v>
      </c>
      <c r="AB69" s="1">
        <f>$C$20/($C$21-$C$22*AB70)</f>
        <v>0.39484815638014015</v>
      </c>
      <c r="AC69" s="1">
        <f>$C$20/($C$21-$C$22*AC70)</f>
        <v>0.39484815638014015</v>
      </c>
      <c r="AD69" s="1">
        <f>$C$20/($C$21-$C$22*AD70)</f>
        <v>0.39484815638014015</v>
      </c>
      <c r="AE69" s="1">
        <f>$C$20/($C$21-$C$22*AE70)</f>
        <v>0.39484815638014015</v>
      </c>
      <c r="AF69" s="1">
        <f>$C$20/($C$21-$C$22*AF70)</f>
        <v>0.39484815638014015</v>
      </c>
      <c r="AG69" s="1">
        <f>$C$20/($C$21-$C$22*AG70)</f>
        <v>0.39484815638014015</v>
      </c>
      <c r="AH69" s="1">
        <f>$C$20/($C$21-$C$22*AH70)</f>
        <v>0.39484815638014015</v>
      </c>
      <c r="AI69" s="1">
        <f>$C$20/($C$21-$C$22*AI70)</f>
        <v>0.39484815638014015</v>
      </c>
      <c r="AJ69" s="1">
        <f>$C$20/($C$21-$C$22*AJ70)</f>
        <v>0.39484815638014015</v>
      </c>
      <c r="AK69" s="2"/>
      <c r="AL69" s="2"/>
      <c r="AM69" s="1">
        <f>(AM70*$C$22-BS69)/($C$21-$C$22*G70)</f>
        <v>181.54555308595795</v>
      </c>
      <c r="AN69" s="1">
        <f>(AN70*$C$22-BT69)/($C$21-$C$22*H70)</f>
        <v>176.28186884247407</v>
      </c>
      <c r="AO69" s="1">
        <f>(AO70*$C$22-BU69)/($C$21-$C$22*I70)</f>
        <v>171.03097316171753</v>
      </c>
      <c r="AP69" s="1">
        <f>(AP70*$C$22-BV69)/($C$21-$C$22*J70)</f>
        <v>165.80550435929777</v>
      </c>
      <c r="AQ69" s="1">
        <f>(AQ70*$C$22-BW69)/($C$21-$C$22*K70)</f>
        <v>160.61780203273113</v>
      </c>
      <c r="AR69" s="1">
        <f>(AR70*$C$22-BX69)/($C$21-$C$22*L70)</f>
        <v>155.479762121242</v>
      </c>
      <c r="AS69" s="1">
        <f>(AS70*$C$22-BY69)/($C$21-$C$22*M70)</f>
        <v>150.4026972082431</v>
      </c>
      <c r="AT69" s="1">
        <f>(AT70*$C$22-BZ69)/($C$21-$C$22*N70)</f>
        <v>145.39720371500678</v>
      </c>
      <c r="AU69" s="1">
        <f>(AU70*$C$22-CA69)/($C$21-$C$22*O70)</f>
        <v>140.47303755081751</v>
      </c>
      <c r="AV69" s="1">
        <f>(AV70*$C$22-CB69)/($C$21-$C$22*P70)</f>
        <v>135.63899968294268</v>
      </c>
      <c r="AW69" s="1">
        <f>(AW70*$C$22-CC69)/($C$21-$C$22*Q70)</f>
        <v>130.90283297038809</v>
      </c>
      <c r="AX69" s="1">
        <f>(AX70*$C$22-CD69)/($C$21-$C$22*R70)</f>
        <v>126.27113147017099</v>
      </c>
      <c r="AY69" s="1">
        <f>(AY70*$C$22-CE69)/($C$21-$C$22*S70)</f>
        <v>121.74926327547273</v>
      </c>
      <c r="AZ69" s="1">
        <f>(AZ70*$C$22-CF69)/($C$21-$C$22*T70)</f>
        <v>117.34130778342858</v>
      </c>
      <c r="BA69" s="1">
        <f>(BA70*$C$22-CG69)/($C$21-$C$22*U70)</f>
        <v>113.05000811850248</v>
      </c>
      <c r="BB69" s="1">
        <f>(BB70*$C$22-CH69)/($C$21-$C$22*V70)</f>
        <v>108.87673925752357</v>
      </c>
      <c r="BC69" s="1">
        <f>(BC70*$C$22-CI69)/($C$21-$C$22*W70)</f>
        <v>104.82149221672995</v>
      </c>
      <c r="BD69" s="1">
        <f>(BD70*$C$22-CJ69)/($C$21-$C$22*X70)</f>
        <v>100.8828744718391</v>
      </c>
      <c r="BE69" s="1">
        <f>(BE70*$C$22-CK69)/($C$21-$C$22*Y70)</f>
        <v>97.058126591503736</v>
      </c>
      <c r="BF69" s="1">
        <f>(BF70*$C$22-CL69)/($C$21-$C$22*Z70)</f>
        <v>93.343154874767492</v>
      </c>
      <c r="BG69" s="1">
        <f>(BG70*$C$22-CM69)/($C$21-$C$22*AA70)</f>
        <v>89.73257959652031</v>
      </c>
      <c r="BH69" s="1">
        <f>(BH70*$C$22-CN69)/($C$21-$C$22*AB70)</f>
        <v>86.219798283604987</v>
      </c>
      <c r="BI69" s="1">
        <f>(BI70*$C$22-CO69)/($C$21-$C$22*AC70)</f>
        <v>82.797063270193846</v>
      </c>
      <c r="BJ69" s="1">
        <f>(BJ70*$C$22-CP69)/($C$21-$C$22*AD70)</f>
        <v>79.45557261627745</v>
      </c>
      <c r="BK69" s="1">
        <f>(BK70*$C$22-CQ69)/($C$21-$C$22*AE70)</f>
        <v>76.185573319393143</v>
      </c>
      <c r="BL69" s="1">
        <f>(BL70*$C$22-CR69)/($C$21-$C$22*AF70)</f>
        <v>72.976475608734873</v>
      </c>
      <c r="BM69" s="1">
        <f>(BM70*$C$22-CS69)/($C$21-$C$22*AG70)</f>
        <v>69.816976984031896</v>
      </c>
      <c r="BN69" s="1">
        <f>(BN70*$C$22-CT69)/($C$21-$C$22*AH70)</f>
        <v>66.695194550401382</v>
      </c>
      <c r="BO69" s="1">
        <f>(BO70*$C$22-CU69)/($C$21-$C$22*AI70)</f>
        <v>63.598804105928856</v>
      </c>
      <c r="BP69" s="1">
        <f>(BP70*$C$22-CV69)/($C$21-$C$22*AJ70)</f>
        <v>60.51518436198598</v>
      </c>
      <c r="BQ69" s="2"/>
      <c r="BR69" s="2"/>
      <c r="BS69" s="1">
        <f t="shared" si="34"/>
        <v>-1076400000</v>
      </c>
      <c r="BT69" s="1">
        <f t="shared" si="31"/>
        <v>-1045191140.1663285</v>
      </c>
      <c r="BU69" s="1">
        <f t="shared" si="31"/>
        <v>-1014058104.8774376</v>
      </c>
      <c r="BV69" s="1">
        <f t="shared" si="31"/>
        <v>-983075827.84936035</v>
      </c>
      <c r="BW69" s="1">
        <f t="shared" si="31"/>
        <v>-952317471.67154539</v>
      </c>
      <c r="BX69" s="1">
        <f t="shared" si="31"/>
        <v>-921853568.44331098</v>
      </c>
      <c r="BY69" s="1">
        <f t="shared" si="31"/>
        <v>-891751191.49462056</v>
      </c>
      <c r="BZ69" s="1">
        <f t="shared" si="31"/>
        <v>-862073167.96534944</v>
      </c>
      <c r="CA69" s="1">
        <f t="shared" si="31"/>
        <v>-832877341.5237968</v>
      </c>
      <c r="CB69" s="1">
        <f t="shared" si="31"/>
        <v>-804215893.90069354</v>
      </c>
      <c r="CC69" s="1">
        <f t="shared" si="31"/>
        <v>-776134733.20721209</v>
      </c>
      <c r="CD69" s="1">
        <f t="shared" si="31"/>
        <v>-748672956.20365679</v>
      </c>
      <c r="CE69" s="1">
        <f t="shared" si="31"/>
        <v>-721862390.79989493</v>
      </c>
      <c r="CF69" s="1">
        <f t="shared" si="31"/>
        <v>-695727224.1104095</v>
      </c>
      <c r="CG69" s="1">
        <f t="shared" si="31"/>
        <v>-670283720.36818683</v>
      </c>
      <c r="CH69" s="1">
        <f t="shared" si="31"/>
        <v>-645540031.93517542</v>
      </c>
      <c r="CI69" s="1">
        <f t="shared" si="31"/>
        <v>-621496105.54583836</v>
      </c>
      <c r="CJ69" s="1">
        <f t="shared" si="31"/>
        <v>-598143684.79778957</v>
      </c>
      <c r="CK69" s="1">
        <f t="shared" si="31"/>
        <v>-575466408.7730571</v>
      </c>
      <c r="CL69" s="1">
        <f t="shared" si="31"/>
        <v>-553440005.54850912</v>
      </c>
      <c r="CM69" s="1">
        <f t="shared" si="31"/>
        <v>-532032578.24752128</v>
      </c>
      <c r="CN69" s="1">
        <f t="shared" si="31"/>
        <v>-511204980.20973432</v>
      </c>
      <c r="CO69" s="1">
        <f t="shared" si="31"/>
        <v>-490911274.82389468</v>
      </c>
      <c r="CP69" s="1">
        <f t="shared" si="31"/>
        <v>-471099274.59179527</v>
      </c>
      <c r="CQ69" s="1">
        <f t="shared" si="31"/>
        <v>-451711153.07994688</v>
      </c>
      <c r="CR69" s="1">
        <f t="shared" si="31"/>
        <v>-432684122.57968986</v>
      </c>
      <c r="CS69" s="1">
        <f t="shared" si="31"/>
        <v>-413951169.54492158</v>
      </c>
      <c r="CT69" s="1">
        <f t="shared" si="31"/>
        <v>-395441839.21740377</v>
      </c>
      <c r="CU69" s="1">
        <f t="shared" si="35"/>
        <v>-377083060.28960419</v>
      </c>
      <c r="CV69" s="1">
        <f t="shared" si="32"/>
        <v>-358800000</v>
      </c>
      <c r="CW69" s="2"/>
      <c r="CX69" s="2"/>
      <c r="CY69" s="1">
        <f t="shared" ref="CY69:CY96" si="37">G69*CY68+AM69</f>
        <v>300</v>
      </c>
      <c r="CZ69" s="1">
        <f t="shared" si="36"/>
        <v>291.30187853019186</v>
      </c>
      <c r="DA69" s="1">
        <f t="shared" si="36"/>
        <v>282.62488987665483</v>
      </c>
      <c r="DB69" s="1">
        <f t="shared" si="36"/>
        <v>273.98991857562999</v>
      </c>
      <c r="DC69" s="1">
        <f t="shared" si="36"/>
        <v>265.41735553833479</v>
      </c>
      <c r="DD69" s="1">
        <f t="shared" si="36"/>
        <v>256.92685854049915</v>
      </c>
      <c r="DE69" s="1">
        <f t="shared" si="36"/>
        <v>248.53712137531227</v>
      </c>
      <c r="DF69" s="1">
        <f t="shared" si="36"/>
        <v>240.2656543939101</v>
      </c>
      <c r="DG69" s="1">
        <f t="shared" si="36"/>
        <v>232.12857902001022</v>
      </c>
      <c r="DH69" s="1">
        <f t="shared" si="36"/>
        <v>224.14043865682655</v>
      </c>
      <c r="DI69" s="1">
        <f t="shared" si="36"/>
        <v>216.31402820713828</v>
      </c>
      <c r="DJ69" s="1">
        <f t="shared" si="36"/>
        <v>208.66024420391773</v>
      </c>
      <c r="DK69" s="1">
        <f t="shared" si="36"/>
        <v>201.18795730208888</v>
      </c>
      <c r="DL69" s="1">
        <f t="shared" si="36"/>
        <v>193.90390861494134</v>
      </c>
      <c r="DM69" s="1">
        <f t="shared" si="36"/>
        <v>186.81263109481239</v>
      </c>
      <c r="DN69" s="1">
        <f t="shared" si="36"/>
        <v>179.91639686041677</v>
      </c>
      <c r="DO69" s="1">
        <f t="shared" si="36"/>
        <v>173.21519106628716</v>
      </c>
      <c r="DP69" s="1">
        <f t="shared" si="36"/>
        <v>166.70671259693131</v>
      </c>
      <c r="DQ69" s="1">
        <f t="shared" si="36"/>
        <v>160.3864015532489</v>
      </c>
      <c r="DR69" s="1">
        <f t="shared" si="36"/>
        <v>154.24749318520321</v>
      </c>
      <c r="DS69" s="1">
        <f t="shared" si="36"/>
        <v>148.28109761636603</v>
      </c>
      <c r="DT69" s="1">
        <f t="shared" si="36"/>
        <v>142.47630440628046</v>
      </c>
      <c r="DU69" s="1">
        <f t="shared" si="36"/>
        <v>136.82031070900072</v>
      </c>
      <c r="DV69" s="1">
        <f t="shared" si="36"/>
        <v>131.29857151387827</v>
      </c>
      <c r="DW69" s="1">
        <f t="shared" si="36"/>
        <v>125.8949702006541</v>
      </c>
      <c r="DX69" s="1">
        <f t="shared" si="36"/>
        <v>120.5920074079403</v>
      </c>
      <c r="DY69" s="1">
        <f t="shared" si="36"/>
        <v>115.37100600471615</v>
      </c>
      <c r="DZ69" s="1">
        <f t="shared" si="36"/>
        <v>110.21232977073687</v>
      </c>
      <c r="EA69" s="1">
        <f t="shared" si="36"/>
        <v>105.09561323567564</v>
      </c>
      <c r="EB69" s="1">
        <f t="shared" si="36"/>
        <v>100</v>
      </c>
    </row>
    <row r="70" spans="4:132">
      <c r="D70" s="2"/>
      <c r="E70" s="2"/>
      <c r="F70" s="1">
        <v>27</v>
      </c>
      <c r="G70" s="1">
        <f>$C$20/($C$21-$C$22*G71)</f>
        <v>0.39484815638014015</v>
      </c>
      <c r="H70" s="1">
        <f>$C$20/($C$21-$C$22*H71)</f>
        <v>0.39484815638014015</v>
      </c>
      <c r="I70" s="1">
        <f>$C$20/($C$21-$C$22*I71)</f>
        <v>0.39484815638014015</v>
      </c>
      <c r="J70" s="1">
        <f>$C$20/($C$21-$C$22*J71)</f>
        <v>0.39484815638014015</v>
      </c>
      <c r="K70" s="1">
        <f>$C$20/($C$21-$C$22*K71)</f>
        <v>0.39484815638014015</v>
      </c>
      <c r="L70" s="1">
        <f>$C$20/($C$21-$C$22*L71)</f>
        <v>0.39484815638014015</v>
      </c>
      <c r="M70" s="1">
        <f>$C$20/($C$21-$C$22*M71)</f>
        <v>0.39484815638014015</v>
      </c>
      <c r="N70" s="1">
        <f>$C$20/($C$21-$C$22*N71)</f>
        <v>0.39484815638014015</v>
      </c>
      <c r="O70" s="1">
        <f>$C$20/($C$21-$C$22*O71)</f>
        <v>0.39484815638014015</v>
      </c>
      <c r="P70" s="1">
        <f>$C$20/($C$21-$C$22*P71)</f>
        <v>0.39484815638014015</v>
      </c>
      <c r="Q70" s="1">
        <f>$C$20/($C$21-$C$22*Q71)</f>
        <v>0.39484815638014015</v>
      </c>
      <c r="R70" s="1">
        <f>$C$20/($C$21-$C$22*R71)</f>
        <v>0.39484815638014015</v>
      </c>
      <c r="S70" s="1">
        <f>$C$20/($C$21-$C$22*S71)</f>
        <v>0.39484815638014015</v>
      </c>
      <c r="T70" s="1">
        <f>$C$20/($C$21-$C$22*T71)</f>
        <v>0.39484815638014015</v>
      </c>
      <c r="U70" s="1">
        <f>$C$20/($C$21-$C$22*U71)</f>
        <v>0.39484815638014015</v>
      </c>
      <c r="V70" s="1">
        <f>$C$20/($C$21-$C$22*V71)</f>
        <v>0.39484815638014015</v>
      </c>
      <c r="W70" s="1">
        <f>$C$20/($C$21-$C$22*W71)</f>
        <v>0.39484815638014015</v>
      </c>
      <c r="X70" s="1">
        <f>$C$20/($C$21-$C$22*X71)</f>
        <v>0.39484815638014015</v>
      </c>
      <c r="Y70" s="1">
        <f>$C$20/($C$21-$C$22*Y71)</f>
        <v>0.39484815638014015</v>
      </c>
      <c r="Z70" s="1">
        <f>$C$20/($C$21-$C$22*Z71)</f>
        <v>0.39484815638014015</v>
      </c>
      <c r="AA70" s="1">
        <f>$C$20/($C$21-$C$22*AA71)</f>
        <v>0.39484815638014015</v>
      </c>
      <c r="AB70" s="1">
        <f>$C$20/($C$21-$C$22*AB71)</f>
        <v>0.39484815638014015</v>
      </c>
      <c r="AC70" s="1">
        <f>$C$20/($C$21-$C$22*AC71)</f>
        <v>0.39484815638014015</v>
      </c>
      <c r="AD70" s="1">
        <f>$C$20/($C$21-$C$22*AD71)</f>
        <v>0.39484815638014015</v>
      </c>
      <c r="AE70" s="1">
        <f>$C$20/($C$21-$C$22*AE71)</f>
        <v>0.39484815638014015</v>
      </c>
      <c r="AF70" s="1">
        <f>$C$20/($C$21-$C$22*AF71)</f>
        <v>0.39484815638014015</v>
      </c>
      <c r="AG70" s="1">
        <f>$C$20/($C$21-$C$22*AG71)</f>
        <v>0.39484815638014015</v>
      </c>
      <c r="AH70" s="1">
        <f>$C$20/($C$21-$C$22*AH71)</f>
        <v>0.39484815638014015</v>
      </c>
      <c r="AI70" s="1">
        <f>$C$20/($C$21-$C$22*AI71)</f>
        <v>0.39484815638014015</v>
      </c>
      <c r="AJ70" s="1">
        <f>$C$20/($C$21-$C$22*AJ71)</f>
        <v>0.39484815638014015</v>
      </c>
      <c r="AK70" s="2"/>
      <c r="AL70" s="2"/>
      <c r="AM70" s="1">
        <f>(AM71*$C$22-BS70)/($C$21-$C$22*G71)</f>
        <v>181.54555308595795</v>
      </c>
      <c r="AN70" s="1">
        <f>(AN71*$C$22-BT70)/($C$21-$C$22*H71)</f>
        <v>176.28186884247407</v>
      </c>
      <c r="AO70" s="1">
        <f>(AO71*$C$22-BU70)/($C$21-$C$22*I71)</f>
        <v>171.03097316171753</v>
      </c>
      <c r="AP70" s="1">
        <f>(AP71*$C$22-BV70)/($C$21-$C$22*J71)</f>
        <v>165.80550435929777</v>
      </c>
      <c r="AQ70" s="1">
        <f>(AQ71*$C$22-BW70)/($C$21-$C$22*K71)</f>
        <v>160.61780203273113</v>
      </c>
      <c r="AR70" s="1">
        <f>(AR71*$C$22-BX70)/($C$21-$C$22*L71)</f>
        <v>155.479762121242</v>
      </c>
      <c r="AS70" s="1">
        <f>(AS71*$C$22-BY70)/($C$21-$C$22*M71)</f>
        <v>150.4026972082431</v>
      </c>
      <c r="AT70" s="1">
        <f>(AT71*$C$22-BZ70)/($C$21-$C$22*N71)</f>
        <v>145.39720371500678</v>
      </c>
      <c r="AU70" s="1">
        <f>(AU71*$C$22-CA70)/($C$21-$C$22*O71)</f>
        <v>140.47303755081751</v>
      </c>
      <c r="AV70" s="1">
        <f>(AV71*$C$22-CB70)/($C$21-$C$22*P71)</f>
        <v>135.63899968294268</v>
      </c>
      <c r="AW70" s="1">
        <f>(AW71*$C$22-CC70)/($C$21-$C$22*Q71)</f>
        <v>130.90283297038809</v>
      </c>
      <c r="AX70" s="1">
        <f>(AX71*$C$22-CD70)/($C$21-$C$22*R71)</f>
        <v>126.27113147017099</v>
      </c>
      <c r="AY70" s="1">
        <f>(AY71*$C$22-CE70)/($C$21-$C$22*S71)</f>
        <v>121.74926327547273</v>
      </c>
      <c r="AZ70" s="1">
        <f>(AZ71*$C$22-CF70)/($C$21-$C$22*T71)</f>
        <v>117.34130778342858</v>
      </c>
      <c r="BA70" s="1">
        <f>(BA71*$C$22-CG70)/($C$21-$C$22*U71)</f>
        <v>113.05000811850248</v>
      </c>
      <c r="BB70" s="1">
        <f>(BB71*$C$22-CH70)/($C$21-$C$22*V71)</f>
        <v>108.87673925752357</v>
      </c>
      <c r="BC70" s="1">
        <f>(BC71*$C$22-CI70)/($C$21-$C$22*W71)</f>
        <v>104.82149221672995</v>
      </c>
      <c r="BD70" s="1">
        <f>(BD71*$C$22-CJ70)/($C$21-$C$22*X71)</f>
        <v>100.8828744718391</v>
      </c>
      <c r="BE70" s="1">
        <f>(BE71*$C$22-CK70)/($C$21-$C$22*Y71)</f>
        <v>97.058126591503751</v>
      </c>
      <c r="BF70" s="1">
        <f>(BF71*$C$22-CL70)/($C$21-$C$22*Z71)</f>
        <v>93.343154874767507</v>
      </c>
      <c r="BG70" s="1">
        <f>(BG71*$C$22-CM70)/($C$21-$C$22*AA71)</f>
        <v>89.73257959652031</v>
      </c>
      <c r="BH70" s="1">
        <f>(BH71*$C$22-CN70)/($C$21-$C$22*AB71)</f>
        <v>86.219798283604987</v>
      </c>
      <c r="BI70" s="1">
        <f>(BI71*$C$22-CO70)/($C$21-$C$22*AC71)</f>
        <v>82.79706327019386</v>
      </c>
      <c r="BJ70" s="1">
        <f>(BJ71*$C$22-CP70)/($C$21-$C$22*AD71)</f>
        <v>79.45557261627745</v>
      </c>
      <c r="BK70" s="1">
        <f>(BK71*$C$22-CQ70)/($C$21-$C$22*AE71)</f>
        <v>76.185573319393143</v>
      </c>
      <c r="BL70" s="1">
        <f>(BL71*$C$22-CR70)/($C$21-$C$22*AF71)</f>
        <v>72.976475608734873</v>
      </c>
      <c r="BM70" s="1">
        <f>(BM71*$C$22-CS70)/($C$21-$C$22*AG71)</f>
        <v>69.816976984031896</v>
      </c>
      <c r="BN70" s="1">
        <f>(BN71*$C$22-CT70)/($C$21-$C$22*AH71)</f>
        <v>66.695194550401382</v>
      </c>
      <c r="BO70" s="1">
        <f>(BO71*$C$22-CU70)/($C$21-$C$22*AI71)</f>
        <v>63.598804105928856</v>
      </c>
      <c r="BP70" s="1">
        <f>(BP71*$C$22-CV70)/($C$21-$C$22*AJ71)</f>
        <v>60.51518436198598</v>
      </c>
      <c r="BQ70" s="2"/>
      <c r="BR70" s="2"/>
      <c r="BS70" s="1">
        <f t="shared" si="34"/>
        <v>-1076400000</v>
      </c>
      <c r="BT70" s="1">
        <f t="shared" si="31"/>
        <v>-1045191140.1663285</v>
      </c>
      <c r="BU70" s="1">
        <f t="shared" si="31"/>
        <v>-1014058104.8774376</v>
      </c>
      <c r="BV70" s="1">
        <f t="shared" si="31"/>
        <v>-983075827.84936035</v>
      </c>
      <c r="BW70" s="1">
        <f t="shared" si="31"/>
        <v>-952317471.67154539</v>
      </c>
      <c r="BX70" s="1">
        <f t="shared" si="31"/>
        <v>-921853568.44331098</v>
      </c>
      <c r="BY70" s="1">
        <f t="shared" si="31"/>
        <v>-891751191.49462056</v>
      </c>
      <c r="BZ70" s="1">
        <f t="shared" si="31"/>
        <v>-862073167.96534944</v>
      </c>
      <c r="CA70" s="1">
        <f t="shared" si="31"/>
        <v>-832877341.5237968</v>
      </c>
      <c r="CB70" s="1">
        <f t="shared" si="31"/>
        <v>-804215893.90069354</v>
      </c>
      <c r="CC70" s="1">
        <f t="shared" si="31"/>
        <v>-776134733.20721209</v>
      </c>
      <c r="CD70" s="1">
        <f t="shared" si="31"/>
        <v>-748672956.20365679</v>
      </c>
      <c r="CE70" s="1">
        <f t="shared" si="31"/>
        <v>-721862390.79989493</v>
      </c>
      <c r="CF70" s="1">
        <f t="shared" si="31"/>
        <v>-695727224.1104095</v>
      </c>
      <c r="CG70" s="1">
        <f t="shared" si="31"/>
        <v>-670283720.36818683</v>
      </c>
      <c r="CH70" s="1">
        <f t="shared" si="31"/>
        <v>-645540031.93517542</v>
      </c>
      <c r="CI70" s="1">
        <f t="shared" si="31"/>
        <v>-621496105.54583836</v>
      </c>
      <c r="CJ70" s="1">
        <f t="shared" si="31"/>
        <v>-598143684.79778957</v>
      </c>
      <c r="CK70" s="1">
        <f t="shared" si="31"/>
        <v>-575466408.7730571</v>
      </c>
      <c r="CL70" s="1">
        <f t="shared" si="31"/>
        <v>-553440005.54850912</v>
      </c>
      <c r="CM70" s="1">
        <f t="shared" si="31"/>
        <v>-532032578.24752128</v>
      </c>
      <c r="CN70" s="1">
        <f t="shared" si="31"/>
        <v>-511204980.20973432</v>
      </c>
      <c r="CO70" s="1">
        <f t="shared" si="31"/>
        <v>-490911274.82389468</v>
      </c>
      <c r="CP70" s="1">
        <f t="shared" si="31"/>
        <v>-471099274.59179527</v>
      </c>
      <c r="CQ70" s="1">
        <f t="shared" si="31"/>
        <v>-451711153.07994688</v>
      </c>
      <c r="CR70" s="1">
        <f t="shared" si="31"/>
        <v>-432684122.57968986</v>
      </c>
      <c r="CS70" s="1">
        <f t="shared" si="31"/>
        <v>-413951169.54492158</v>
      </c>
      <c r="CT70" s="1">
        <f t="shared" si="31"/>
        <v>-395441839.21740377</v>
      </c>
      <c r="CU70" s="1">
        <f t="shared" si="35"/>
        <v>-377083060.28960419</v>
      </c>
      <c r="CV70" s="1">
        <f t="shared" si="32"/>
        <v>-358800000</v>
      </c>
      <c r="CW70" s="2"/>
      <c r="CX70" s="2"/>
      <c r="CY70" s="1">
        <f t="shared" si="37"/>
        <v>300</v>
      </c>
      <c r="CZ70" s="1">
        <f t="shared" si="36"/>
        <v>291.30187853019186</v>
      </c>
      <c r="DA70" s="1">
        <f t="shared" si="36"/>
        <v>282.62488987665483</v>
      </c>
      <c r="DB70" s="1">
        <f t="shared" si="36"/>
        <v>273.98991857562999</v>
      </c>
      <c r="DC70" s="1">
        <f t="shared" si="36"/>
        <v>265.41735553833479</v>
      </c>
      <c r="DD70" s="1">
        <f t="shared" si="36"/>
        <v>256.92685854049915</v>
      </c>
      <c r="DE70" s="1">
        <f t="shared" si="36"/>
        <v>248.53712137531227</v>
      </c>
      <c r="DF70" s="1">
        <f t="shared" si="36"/>
        <v>240.2656543939101</v>
      </c>
      <c r="DG70" s="1">
        <f t="shared" si="36"/>
        <v>232.12857902001022</v>
      </c>
      <c r="DH70" s="1">
        <f t="shared" si="36"/>
        <v>224.14043865682655</v>
      </c>
      <c r="DI70" s="1">
        <f t="shared" si="36"/>
        <v>216.31402820713828</v>
      </c>
      <c r="DJ70" s="1">
        <f t="shared" si="36"/>
        <v>208.66024420391773</v>
      </c>
      <c r="DK70" s="1">
        <f t="shared" si="36"/>
        <v>201.18795730208888</v>
      </c>
      <c r="DL70" s="1">
        <f t="shared" si="36"/>
        <v>193.90390861494134</v>
      </c>
      <c r="DM70" s="1">
        <f t="shared" si="36"/>
        <v>186.81263109481239</v>
      </c>
      <c r="DN70" s="1">
        <f t="shared" si="36"/>
        <v>179.91639686041677</v>
      </c>
      <c r="DO70" s="1">
        <f t="shared" si="36"/>
        <v>173.21519106628716</v>
      </c>
      <c r="DP70" s="1">
        <f t="shared" si="36"/>
        <v>166.70671259693131</v>
      </c>
      <c r="DQ70" s="1">
        <f t="shared" si="36"/>
        <v>160.38640155324893</v>
      </c>
      <c r="DR70" s="1">
        <f t="shared" si="36"/>
        <v>154.24749318520321</v>
      </c>
      <c r="DS70" s="1">
        <f t="shared" si="36"/>
        <v>148.28109761636603</v>
      </c>
      <c r="DT70" s="1">
        <f t="shared" si="36"/>
        <v>142.47630440628046</v>
      </c>
      <c r="DU70" s="1">
        <f t="shared" si="36"/>
        <v>136.82031070900075</v>
      </c>
      <c r="DV70" s="1">
        <f t="shared" si="36"/>
        <v>131.29857151387827</v>
      </c>
      <c r="DW70" s="1">
        <f t="shared" si="36"/>
        <v>125.8949702006541</v>
      </c>
      <c r="DX70" s="1">
        <f t="shared" si="36"/>
        <v>120.5920074079403</v>
      </c>
      <c r="DY70" s="1">
        <f t="shared" si="36"/>
        <v>115.37100600471615</v>
      </c>
      <c r="DZ70" s="1">
        <f t="shared" si="36"/>
        <v>110.21232977073687</v>
      </c>
      <c r="EA70" s="1">
        <f t="shared" si="36"/>
        <v>105.09561323567564</v>
      </c>
      <c r="EB70" s="1">
        <f t="shared" si="36"/>
        <v>100</v>
      </c>
    </row>
    <row r="71" spans="4:132">
      <c r="D71" s="2"/>
      <c r="E71" s="2"/>
      <c r="F71" s="1">
        <v>26</v>
      </c>
      <c r="G71" s="1">
        <f>$C$20/($C$21-$C$22*G72)</f>
        <v>0.39484815638014015</v>
      </c>
      <c r="H71" s="1">
        <f>$C$20/($C$21-$C$22*H72)</f>
        <v>0.39484815638014015</v>
      </c>
      <c r="I71" s="1">
        <f>$C$20/($C$21-$C$22*I72)</f>
        <v>0.39484815638014015</v>
      </c>
      <c r="J71" s="1">
        <f>$C$20/($C$21-$C$22*J72)</f>
        <v>0.39484815638014015</v>
      </c>
      <c r="K71" s="1">
        <f>$C$20/($C$21-$C$22*K72)</f>
        <v>0.39484815638014015</v>
      </c>
      <c r="L71" s="1">
        <f>$C$20/($C$21-$C$22*L72)</f>
        <v>0.39484815638014015</v>
      </c>
      <c r="M71" s="1">
        <f>$C$20/($C$21-$C$22*M72)</f>
        <v>0.39484815638014015</v>
      </c>
      <c r="N71" s="1">
        <f>$C$20/($C$21-$C$22*N72)</f>
        <v>0.39484815638014015</v>
      </c>
      <c r="O71" s="1">
        <f>$C$20/($C$21-$C$22*O72)</f>
        <v>0.39484815638014015</v>
      </c>
      <c r="P71" s="1">
        <f>$C$20/($C$21-$C$22*P72)</f>
        <v>0.39484815638014015</v>
      </c>
      <c r="Q71" s="1">
        <f>$C$20/($C$21-$C$22*Q72)</f>
        <v>0.39484815638014015</v>
      </c>
      <c r="R71" s="1">
        <f>$C$20/($C$21-$C$22*R72)</f>
        <v>0.39484815638014015</v>
      </c>
      <c r="S71" s="1">
        <f>$C$20/($C$21-$C$22*S72)</f>
        <v>0.39484815638014015</v>
      </c>
      <c r="T71" s="1">
        <f>$C$20/($C$21-$C$22*T72)</f>
        <v>0.39484815638014015</v>
      </c>
      <c r="U71" s="1">
        <f>$C$20/($C$21-$C$22*U72)</f>
        <v>0.39484815638014015</v>
      </c>
      <c r="V71" s="1">
        <f>$C$20/($C$21-$C$22*V72)</f>
        <v>0.39484815638014015</v>
      </c>
      <c r="W71" s="1">
        <f>$C$20/($C$21-$C$22*W72)</f>
        <v>0.39484815638014015</v>
      </c>
      <c r="X71" s="1">
        <f>$C$20/($C$21-$C$22*X72)</f>
        <v>0.39484815638014015</v>
      </c>
      <c r="Y71" s="1">
        <f>$C$20/($C$21-$C$22*Y72)</f>
        <v>0.39484815638014015</v>
      </c>
      <c r="Z71" s="1">
        <f>$C$20/($C$21-$C$22*Z72)</f>
        <v>0.39484815638014015</v>
      </c>
      <c r="AA71" s="1">
        <f>$C$20/($C$21-$C$22*AA72)</f>
        <v>0.39484815638014015</v>
      </c>
      <c r="AB71" s="1">
        <f>$C$20/($C$21-$C$22*AB72)</f>
        <v>0.39484815638014015</v>
      </c>
      <c r="AC71" s="1">
        <f>$C$20/($C$21-$C$22*AC72)</f>
        <v>0.39484815638014015</v>
      </c>
      <c r="AD71" s="1">
        <f>$C$20/($C$21-$C$22*AD72)</f>
        <v>0.39484815638014015</v>
      </c>
      <c r="AE71" s="1">
        <f>$C$20/($C$21-$C$22*AE72)</f>
        <v>0.39484815638014015</v>
      </c>
      <c r="AF71" s="1">
        <f>$C$20/($C$21-$C$22*AF72)</f>
        <v>0.39484815638014015</v>
      </c>
      <c r="AG71" s="1">
        <f>$C$20/($C$21-$C$22*AG72)</f>
        <v>0.39484815638014015</v>
      </c>
      <c r="AH71" s="1">
        <f>$C$20/($C$21-$C$22*AH72)</f>
        <v>0.39484815638014015</v>
      </c>
      <c r="AI71" s="1">
        <f>$C$20/($C$21-$C$22*AI72)</f>
        <v>0.39484815638014015</v>
      </c>
      <c r="AJ71" s="1">
        <f>$C$20/($C$21-$C$22*AJ72)</f>
        <v>0.39484815638014015</v>
      </c>
      <c r="AK71" s="2"/>
      <c r="AL71" s="2"/>
      <c r="AM71" s="1">
        <f>(AM72*$C$22-BS71)/($C$21-$C$22*G72)</f>
        <v>181.54555308595795</v>
      </c>
      <c r="AN71" s="1">
        <f>(AN72*$C$22-BT71)/($C$21-$C$22*H72)</f>
        <v>176.28186884247407</v>
      </c>
      <c r="AO71" s="1">
        <f>(AO72*$C$22-BU71)/($C$21-$C$22*I72)</f>
        <v>171.03097316171753</v>
      </c>
      <c r="AP71" s="1">
        <f>(AP72*$C$22-BV71)/($C$21-$C$22*J72)</f>
        <v>165.80550435929777</v>
      </c>
      <c r="AQ71" s="1">
        <f>(AQ72*$C$22-BW71)/($C$21-$C$22*K72)</f>
        <v>160.61780203273116</v>
      </c>
      <c r="AR71" s="1">
        <f>(AR72*$C$22-BX71)/($C$21-$C$22*L72)</f>
        <v>155.479762121242</v>
      </c>
      <c r="AS71" s="1">
        <f>(AS72*$C$22-BY71)/($C$21-$C$22*M72)</f>
        <v>150.4026972082431</v>
      </c>
      <c r="AT71" s="1">
        <f>(AT72*$C$22-BZ71)/($C$21-$C$22*N72)</f>
        <v>145.39720371500681</v>
      </c>
      <c r="AU71" s="1">
        <f>(AU72*$C$22-CA71)/($C$21-$C$22*O72)</f>
        <v>140.47303755081754</v>
      </c>
      <c r="AV71" s="1">
        <f>(AV72*$C$22-CB71)/($C$21-$C$22*P72)</f>
        <v>135.63899968294271</v>
      </c>
      <c r="AW71" s="1">
        <f>(AW72*$C$22-CC71)/($C$21-$C$22*Q72)</f>
        <v>130.90283297038809</v>
      </c>
      <c r="AX71" s="1">
        <f>(AX72*$C$22-CD71)/($C$21-$C$22*R72)</f>
        <v>126.27113147017099</v>
      </c>
      <c r="AY71" s="1">
        <f>(AY72*$C$22-CE71)/($C$21-$C$22*S72)</f>
        <v>121.74926327547273</v>
      </c>
      <c r="AZ71" s="1">
        <f>(AZ72*$C$22-CF71)/($C$21-$C$22*T72)</f>
        <v>117.34130778342858</v>
      </c>
      <c r="BA71" s="1">
        <f>(BA72*$C$22-CG71)/($C$21-$C$22*U72)</f>
        <v>113.05000811850248</v>
      </c>
      <c r="BB71" s="1">
        <f>(BB72*$C$22-CH71)/($C$21-$C$22*V72)</f>
        <v>108.87673925752358</v>
      </c>
      <c r="BC71" s="1">
        <f>(BC72*$C$22-CI71)/($C$21-$C$22*W72)</f>
        <v>104.82149221672996</v>
      </c>
      <c r="BD71" s="1">
        <f>(BD72*$C$22-CJ71)/($C$21-$C$22*X72)</f>
        <v>100.88287447183913</v>
      </c>
      <c r="BE71" s="1">
        <f>(BE72*$C$22-CK71)/($C$21-$C$22*Y72)</f>
        <v>97.058126591503779</v>
      </c>
      <c r="BF71" s="1">
        <f>(BF72*$C$22-CL71)/($C$21-$C$22*Z72)</f>
        <v>93.343154874767535</v>
      </c>
      <c r="BG71" s="1">
        <f>(BG72*$C$22-CM71)/($C$21-$C$22*AA72)</f>
        <v>89.732579596520324</v>
      </c>
      <c r="BH71" s="1">
        <f>(BH72*$C$22-CN71)/($C$21-$C$22*AB72)</f>
        <v>86.219798283604987</v>
      </c>
      <c r="BI71" s="1">
        <f>(BI72*$C$22-CO71)/($C$21-$C$22*AC72)</f>
        <v>82.797063270193874</v>
      </c>
      <c r="BJ71" s="1">
        <f>(BJ72*$C$22-CP71)/($C$21-$C$22*AD72)</f>
        <v>79.45557261627745</v>
      </c>
      <c r="BK71" s="1">
        <f>(BK72*$C$22-CQ71)/($C$21-$C$22*AE72)</f>
        <v>76.185573319393143</v>
      </c>
      <c r="BL71" s="1">
        <f>(BL72*$C$22-CR71)/($C$21-$C$22*AF72)</f>
        <v>72.976475608734873</v>
      </c>
      <c r="BM71" s="1">
        <f>(BM72*$C$22-CS71)/($C$21-$C$22*AG72)</f>
        <v>69.816976984031911</v>
      </c>
      <c r="BN71" s="1">
        <f>(BN72*$C$22-CT71)/($C$21-$C$22*AH72)</f>
        <v>66.695194550401382</v>
      </c>
      <c r="BO71" s="1">
        <f>(BO72*$C$22-CU71)/($C$21-$C$22*AI72)</f>
        <v>63.598804105928856</v>
      </c>
      <c r="BP71" s="1">
        <f>(BP72*$C$22-CV71)/($C$21-$C$22*AJ72)</f>
        <v>60.51518436198598</v>
      </c>
      <c r="BQ71" s="2"/>
      <c r="BR71" s="2"/>
      <c r="BS71" s="1">
        <f t="shared" si="34"/>
        <v>-1076400000</v>
      </c>
      <c r="BT71" s="1">
        <f t="shared" si="31"/>
        <v>-1045191140.1663285</v>
      </c>
      <c r="BU71" s="1">
        <f t="shared" si="31"/>
        <v>-1014058104.8774376</v>
      </c>
      <c r="BV71" s="1">
        <f t="shared" si="31"/>
        <v>-983075827.84936035</v>
      </c>
      <c r="BW71" s="1">
        <f t="shared" si="31"/>
        <v>-952317471.67154539</v>
      </c>
      <c r="BX71" s="1">
        <f t="shared" si="31"/>
        <v>-921853568.44331098</v>
      </c>
      <c r="BY71" s="1">
        <f t="shared" si="31"/>
        <v>-891751191.49462056</v>
      </c>
      <c r="BZ71" s="1">
        <f t="shared" si="31"/>
        <v>-862073167.96534944</v>
      </c>
      <c r="CA71" s="1">
        <f t="shared" si="31"/>
        <v>-832877341.5237968</v>
      </c>
      <c r="CB71" s="1">
        <f t="shared" si="31"/>
        <v>-804215893.90069354</v>
      </c>
      <c r="CC71" s="1">
        <f t="shared" si="31"/>
        <v>-776134733.20721209</v>
      </c>
      <c r="CD71" s="1">
        <f t="shared" si="31"/>
        <v>-748672956.20365679</v>
      </c>
      <c r="CE71" s="1">
        <f t="shared" si="31"/>
        <v>-721862390.79989493</v>
      </c>
      <c r="CF71" s="1">
        <f t="shared" si="31"/>
        <v>-695727224.1104095</v>
      </c>
      <c r="CG71" s="1">
        <f t="shared" si="31"/>
        <v>-670283720.36818683</v>
      </c>
      <c r="CH71" s="1">
        <f t="shared" si="31"/>
        <v>-645540031.93517542</v>
      </c>
      <c r="CI71" s="1">
        <f t="shared" si="31"/>
        <v>-621496105.54583836</v>
      </c>
      <c r="CJ71" s="1">
        <f t="shared" si="31"/>
        <v>-598143684.79778969</v>
      </c>
      <c r="CK71" s="1">
        <f t="shared" si="31"/>
        <v>-575466408.77305734</v>
      </c>
      <c r="CL71" s="1">
        <f t="shared" si="31"/>
        <v>-553440005.54850936</v>
      </c>
      <c r="CM71" s="1">
        <f t="shared" si="31"/>
        <v>-532032578.2475214</v>
      </c>
      <c r="CN71" s="1">
        <f t="shared" si="31"/>
        <v>-511204980.20973432</v>
      </c>
      <c r="CO71" s="1">
        <f t="shared" si="31"/>
        <v>-490911274.82389468</v>
      </c>
      <c r="CP71" s="1">
        <f t="shared" si="31"/>
        <v>-471099274.59179527</v>
      </c>
      <c r="CQ71" s="1">
        <f t="shared" si="31"/>
        <v>-451711153.07994688</v>
      </c>
      <c r="CR71" s="1">
        <f t="shared" si="31"/>
        <v>-432684122.57968986</v>
      </c>
      <c r="CS71" s="1">
        <f t="shared" si="31"/>
        <v>-413951169.54492158</v>
      </c>
      <c r="CT71" s="1">
        <f t="shared" si="31"/>
        <v>-395441839.21740377</v>
      </c>
      <c r="CU71" s="1">
        <f t="shared" si="35"/>
        <v>-377083060.28960419</v>
      </c>
      <c r="CV71" s="1">
        <f t="shared" si="32"/>
        <v>-358800000</v>
      </c>
      <c r="CW71" s="2"/>
      <c r="CX71" s="2"/>
      <c r="CY71" s="1">
        <f t="shared" si="37"/>
        <v>300</v>
      </c>
      <c r="CZ71" s="1">
        <f t="shared" si="36"/>
        <v>291.30187853019186</v>
      </c>
      <c r="DA71" s="1">
        <f t="shared" si="36"/>
        <v>282.62488987665483</v>
      </c>
      <c r="DB71" s="1">
        <f t="shared" si="36"/>
        <v>273.98991857562999</v>
      </c>
      <c r="DC71" s="1">
        <f t="shared" si="36"/>
        <v>265.41735553833485</v>
      </c>
      <c r="DD71" s="1">
        <f t="shared" si="36"/>
        <v>256.92685854049915</v>
      </c>
      <c r="DE71" s="1">
        <f t="shared" si="36"/>
        <v>248.53712137531227</v>
      </c>
      <c r="DF71" s="1">
        <f t="shared" si="36"/>
        <v>240.26565439391013</v>
      </c>
      <c r="DG71" s="1">
        <f t="shared" si="36"/>
        <v>232.12857902001025</v>
      </c>
      <c r="DH71" s="1">
        <f t="shared" si="36"/>
        <v>224.14043865682657</v>
      </c>
      <c r="DI71" s="1">
        <f t="shared" si="36"/>
        <v>216.31402820713828</v>
      </c>
      <c r="DJ71" s="1">
        <f t="shared" si="36"/>
        <v>208.66024420391773</v>
      </c>
      <c r="DK71" s="1">
        <f t="shared" si="36"/>
        <v>201.18795730208888</v>
      </c>
      <c r="DL71" s="1">
        <f t="shared" si="36"/>
        <v>193.90390861494134</v>
      </c>
      <c r="DM71" s="1">
        <f t="shared" si="36"/>
        <v>186.81263109481239</v>
      </c>
      <c r="DN71" s="1">
        <f t="shared" si="36"/>
        <v>179.9163968604168</v>
      </c>
      <c r="DO71" s="1">
        <f t="shared" si="36"/>
        <v>173.21519106628716</v>
      </c>
      <c r="DP71" s="1">
        <f t="shared" si="36"/>
        <v>166.70671259693134</v>
      </c>
      <c r="DQ71" s="1">
        <f t="shared" si="36"/>
        <v>160.38640155324896</v>
      </c>
      <c r="DR71" s="1">
        <f t="shared" si="36"/>
        <v>154.24749318520327</v>
      </c>
      <c r="DS71" s="1">
        <f t="shared" si="36"/>
        <v>148.28109761636603</v>
      </c>
      <c r="DT71" s="1">
        <f t="shared" si="36"/>
        <v>142.47630440628046</v>
      </c>
      <c r="DU71" s="1">
        <f t="shared" si="36"/>
        <v>136.82031070900075</v>
      </c>
      <c r="DV71" s="1">
        <f t="shared" si="36"/>
        <v>131.29857151387827</v>
      </c>
      <c r="DW71" s="1">
        <f t="shared" si="36"/>
        <v>125.8949702006541</v>
      </c>
      <c r="DX71" s="1">
        <f t="shared" si="36"/>
        <v>120.5920074079403</v>
      </c>
      <c r="DY71" s="1">
        <f t="shared" si="36"/>
        <v>115.37100600471615</v>
      </c>
      <c r="DZ71" s="1">
        <f t="shared" si="36"/>
        <v>110.21232977073687</v>
      </c>
      <c r="EA71" s="1">
        <f t="shared" si="36"/>
        <v>105.09561323567564</v>
      </c>
      <c r="EB71" s="1">
        <f t="shared" si="36"/>
        <v>100</v>
      </c>
    </row>
    <row r="72" spans="4:132">
      <c r="D72" s="2"/>
      <c r="E72" s="2"/>
      <c r="F72" s="1">
        <v>25</v>
      </c>
      <c r="G72" s="1">
        <f>$C$20/($C$21-$C$22*G73)</f>
        <v>0.39484815638014015</v>
      </c>
      <c r="H72" s="1">
        <f>$C$20/($C$21-$C$22*H73)</f>
        <v>0.39484815638014015</v>
      </c>
      <c r="I72" s="1">
        <f>$C$20/($C$21-$C$22*I73)</f>
        <v>0.39484815638014015</v>
      </c>
      <c r="J72" s="1">
        <f>$C$20/($C$21-$C$22*J73)</f>
        <v>0.39484815638014015</v>
      </c>
      <c r="K72" s="1">
        <f>$C$20/($C$21-$C$22*K73)</f>
        <v>0.39484815638014015</v>
      </c>
      <c r="L72" s="1">
        <f>$C$20/($C$21-$C$22*L73)</f>
        <v>0.39484815638014015</v>
      </c>
      <c r="M72" s="1">
        <f>$C$20/($C$21-$C$22*M73)</f>
        <v>0.39484815638014015</v>
      </c>
      <c r="N72" s="1">
        <f>$C$20/($C$21-$C$22*N73)</f>
        <v>0.39484815638014015</v>
      </c>
      <c r="O72" s="1">
        <f>$C$20/($C$21-$C$22*O73)</f>
        <v>0.39484815638014015</v>
      </c>
      <c r="P72" s="1">
        <f>$C$20/($C$21-$C$22*P73)</f>
        <v>0.39484815638014015</v>
      </c>
      <c r="Q72" s="1">
        <f>$C$20/($C$21-$C$22*Q73)</f>
        <v>0.39484815638014015</v>
      </c>
      <c r="R72" s="1">
        <f>$C$20/($C$21-$C$22*R73)</f>
        <v>0.39484815638014015</v>
      </c>
      <c r="S72" s="1">
        <f>$C$20/($C$21-$C$22*S73)</f>
        <v>0.39484815638014015</v>
      </c>
      <c r="T72" s="1">
        <f>$C$20/($C$21-$C$22*T73)</f>
        <v>0.39484815638014015</v>
      </c>
      <c r="U72" s="1">
        <f>$C$20/($C$21-$C$22*U73)</f>
        <v>0.39484815638014015</v>
      </c>
      <c r="V72" s="1">
        <f>$C$20/($C$21-$C$22*V73)</f>
        <v>0.39484815638014015</v>
      </c>
      <c r="W72" s="1">
        <f>$C$20/($C$21-$C$22*W73)</f>
        <v>0.39484815638014015</v>
      </c>
      <c r="X72" s="1">
        <f>$C$20/($C$21-$C$22*X73)</f>
        <v>0.39484815638014015</v>
      </c>
      <c r="Y72" s="1">
        <f>$C$20/($C$21-$C$22*Y73)</f>
        <v>0.39484815638014015</v>
      </c>
      <c r="Z72" s="1">
        <f>$C$20/($C$21-$C$22*Z73)</f>
        <v>0.39484815638014015</v>
      </c>
      <c r="AA72" s="1">
        <f>$C$20/($C$21-$C$22*AA73)</f>
        <v>0.39484815638014015</v>
      </c>
      <c r="AB72" s="1">
        <f>$C$20/($C$21-$C$22*AB73)</f>
        <v>0.39484815638014015</v>
      </c>
      <c r="AC72" s="1">
        <f>$C$20/($C$21-$C$22*AC73)</f>
        <v>0.39484815638014015</v>
      </c>
      <c r="AD72" s="1">
        <f>$C$20/($C$21-$C$22*AD73)</f>
        <v>0.39484815638014015</v>
      </c>
      <c r="AE72" s="1">
        <f>$C$20/($C$21-$C$22*AE73)</f>
        <v>0.39484815638014015</v>
      </c>
      <c r="AF72" s="1">
        <f>$C$20/($C$21-$C$22*AF73)</f>
        <v>0.39484815638014015</v>
      </c>
      <c r="AG72" s="1">
        <f>$C$20/($C$21-$C$22*AG73)</f>
        <v>0.39484815638014015</v>
      </c>
      <c r="AH72" s="1">
        <f>$C$20/($C$21-$C$22*AH73)</f>
        <v>0.39484815638014015</v>
      </c>
      <c r="AI72" s="1">
        <f>$C$20/($C$21-$C$22*AI73)</f>
        <v>0.39484815638014015</v>
      </c>
      <c r="AJ72" s="1">
        <f>$C$20/($C$21-$C$22*AJ73)</f>
        <v>0.39484815638014015</v>
      </c>
      <c r="AK72" s="2"/>
      <c r="AL72" s="2"/>
      <c r="AM72" s="1">
        <f>(AM73*$C$22-BS72)/($C$21-$C$22*G73)</f>
        <v>181.54555308595795</v>
      </c>
      <c r="AN72" s="1">
        <f>(AN73*$C$22-BT72)/($C$21-$C$22*H73)</f>
        <v>176.28186884247407</v>
      </c>
      <c r="AO72" s="1">
        <f>(AO73*$C$22-BU72)/($C$21-$C$22*I73)</f>
        <v>171.03097316171753</v>
      </c>
      <c r="AP72" s="1">
        <f>(AP73*$C$22-BV72)/($C$21-$C$22*J73)</f>
        <v>165.80550435929777</v>
      </c>
      <c r="AQ72" s="1">
        <f>(AQ73*$C$22-BW72)/($C$21-$C$22*K73)</f>
        <v>160.61780203273119</v>
      </c>
      <c r="AR72" s="1">
        <f>(AR73*$C$22-BX72)/($C$21-$C$22*L73)</f>
        <v>155.479762121242</v>
      </c>
      <c r="AS72" s="1">
        <f>(AS73*$C$22-BY72)/($C$21-$C$22*M73)</f>
        <v>150.40269720824313</v>
      </c>
      <c r="AT72" s="1">
        <f>(AT73*$C$22-BZ72)/($C$21-$C$22*N73)</f>
        <v>145.39720371500684</v>
      </c>
      <c r="AU72" s="1">
        <f>(AU73*$C$22-CA72)/($C$21-$C$22*O73)</f>
        <v>140.47303755081757</v>
      </c>
      <c r="AV72" s="1">
        <f>(AV73*$C$22-CB72)/($C$21-$C$22*P73)</f>
        <v>135.63899968294274</v>
      </c>
      <c r="AW72" s="1">
        <f>(AW73*$C$22-CC72)/($C$21-$C$22*Q73)</f>
        <v>130.90283297038812</v>
      </c>
      <c r="AX72" s="1">
        <f>(AX73*$C$22-CD72)/($C$21-$C$22*R73)</f>
        <v>126.271131470171</v>
      </c>
      <c r="AY72" s="1">
        <f>(AY73*$C$22-CE72)/($C$21-$C$22*S73)</f>
        <v>121.74926327547276</v>
      </c>
      <c r="AZ72" s="1">
        <f>(AZ73*$C$22-CF72)/($C$21-$C$22*T73)</f>
        <v>117.34130778342858</v>
      </c>
      <c r="BA72" s="1">
        <f>(BA73*$C$22-CG72)/($C$21-$C$22*U73)</f>
        <v>113.05000811850248</v>
      </c>
      <c r="BB72" s="1">
        <f>(BB73*$C$22-CH72)/($C$21-$C$22*V73)</f>
        <v>108.8767392575236</v>
      </c>
      <c r="BC72" s="1">
        <f>(BC73*$C$22-CI72)/($C$21-$C$22*W73)</f>
        <v>104.82149221672998</v>
      </c>
      <c r="BD72" s="1">
        <f>(BD73*$C$22-CJ72)/($C$21-$C$22*X73)</f>
        <v>100.88287447183913</v>
      </c>
      <c r="BE72" s="1">
        <f>(BE73*$C$22-CK72)/($C$21-$C$22*Y73)</f>
        <v>97.058126591503807</v>
      </c>
      <c r="BF72" s="1">
        <f>(BF73*$C$22-CL72)/($C$21-$C$22*Z73)</f>
        <v>93.343154874767535</v>
      </c>
      <c r="BG72" s="1">
        <f>(BG73*$C$22-CM72)/($C$21-$C$22*AA73)</f>
        <v>89.732579596520353</v>
      </c>
      <c r="BH72" s="1">
        <f>(BH73*$C$22-CN72)/($C$21-$C$22*AB73)</f>
        <v>86.219798283605016</v>
      </c>
      <c r="BI72" s="1">
        <f>(BI73*$C$22-CO72)/($C$21-$C$22*AC73)</f>
        <v>82.797063270193902</v>
      </c>
      <c r="BJ72" s="1">
        <f>(BJ73*$C$22-CP72)/($C$21-$C$22*AD73)</f>
        <v>79.455572616277479</v>
      </c>
      <c r="BK72" s="1">
        <f>(BK73*$C$22-CQ72)/($C$21-$C$22*AE73)</f>
        <v>76.185573319393157</v>
      </c>
      <c r="BL72" s="1">
        <f>(BL73*$C$22-CR72)/($C$21-$C$22*AF73)</f>
        <v>72.976475608734901</v>
      </c>
      <c r="BM72" s="1">
        <f>(BM73*$C$22-CS72)/($C$21-$C$22*AG73)</f>
        <v>69.816976984031925</v>
      </c>
      <c r="BN72" s="1">
        <f>(BN73*$C$22-CT72)/($C$21-$C$22*AH73)</f>
        <v>66.695194550401382</v>
      </c>
      <c r="BO72" s="1">
        <f>(BO73*$C$22-CU72)/($C$21-$C$22*AI73)</f>
        <v>63.598804105928856</v>
      </c>
      <c r="BP72" s="1">
        <f>(BP73*$C$22-CV72)/($C$21-$C$22*AJ73)</f>
        <v>60.51518436198598</v>
      </c>
      <c r="BQ72" s="2"/>
      <c r="BR72" s="2"/>
      <c r="BS72" s="1">
        <f t="shared" si="34"/>
        <v>-1076400000</v>
      </c>
      <c r="BT72" s="1">
        <f t="shared" si="31"/>
        <v>-1045191140.1663285</v>
      </c>
      <c r="BU72" s="1">
        <f t="shared" si="31"/>
        <v>-1014058104.8774376</v>
      </c>
      <c r="BV72" s="1">
        <f t="shared" si="31"/>
        <v>-983075827.84936035</v>
      </c>
      <c r="BW72" s="1">
        <f t="shared" si="31"/>
        <v>-952317471.67154562</v>
      </c>
      <c r="BX72" s="1">
        <f t="shared" si="31"/>
        <v>-921853568.44331121</v>
      </c>
      <c r="BY72" s="1">
        <f t="shared" si="31"/>
        <v>-891751191.49462056</v>
      </c>
      <c r="BZ72" s="1">
        <f t="shared" si="31"/>
        <v>-862073167.96534956</v>
      </c>
      <c r="CA72" s="1">
        <f t="shared" si="31"/>
        <v>-832877341.52379704</v>
      </c>
      <c r="CB72" s="1">
        <f t="shared" si="31"/>
        <v>-804215893.90069377</v>
      </c>
      <c r="CC72" s="1">
        <f t="shared" si="31"/>
        <v>-776134733.20721209</v>
      </c>
      <c r="CD72" s="1">
        <f t="shared" si="31"/>
        <v>-748672956.20365679</v>
      </c>
      <c r="CE72" s="1">
        <f t="shared" si="31"/>
        <v>-721862390.79989493</v>
      </c>
      <c r="CF72" s="1">
        <f t="shared" si="31"/>
        <v>-695727224.1104095</v>
      </c>
      <c r="CG72" s="1">
        <f t="shared" si="31"/>
        <v>-670283720.36818683</v>
      </c>
      <c r="CH72" s="1">
        <f t="shared" si="31"/>
        <v>-645540031.93517542</v>
      </c>
      <c r="CI72" s="1">
        <f t="shared" si="31"/>
        <v>-621496105.54583836</v>
      </c>
      <c r="CJ72" s="1">
        <f t="shared" si="31"/>
        <v>-598143684.79778969</v>
      </c>
      <c r="CK72" s="1">
        <f t="shared" si="31"/>
        <v>-575466408.77305734</v>
      </c>
      <c r="CL72" s="1">
        <f t="shared" si="31"/>
        <v>-553440005.54850936</v>
      </c>
      <c r="CM72" s="1">
        <f t="shared" si="31"/>
        <v>-532032578.24752152</v>
      </c>
      <c r="CN72" s="1">
        <f t="shared" si="31"/>
        <v>-511204980.20973438</v>
      </c>
      <c r="CO72" s="1">
        <f t="shared" si="31"/>
        <v>-490911274.8238948</v>
      </c>
      <c r="CP72" s="1">
        <f t="shared" si="31"/>
        <v>-471099274.59179533</v>
      </c>
      <c r="CQ72" s="1">
        <f t="shared" si="31"/>
        <v>-451711153.07994694</v>
      </c>
      <c r="CR72" s="1">
        <f t="shared" si="31"/>
        <v>-432684122.57968998</v>
      </c>
      <c r="CS72" s="1">
        <f t="shared" si="31"/>
        <v>-413951169.54492164</v>
      </c>
      <c r="CT72" s="1">
        <f t="shared" si="31"/>
        <v>-395441839.21740377</v>
      </c>
      <c r="CU72" s="1">
        <f t="shared" si="35"/>
        <v>-377083060.28960419</v>
      </c>
      <c r="CV72" s="1">
        <f t="shared" si="32"/>
        <v>-358800000</v>
      </c>
      <c r="CW72" s="2"/>
      <c r="CX72" s="2"/>
      <c r="CY72" s="1">
        <f t="shared" si="37"/>
        <v>300</v>
      </c>
      <c r="CZ72" s="1">
        <f t="shared" si="36"/>
        <v>291.30187853019186</v>
      </c>
      <c r="DA72" s="1">
        <f t="shared" si="36"/>
        <v>282.62488987665483</v>
      </c>
      <c r="DB72" s="1">
        <f t="shared" si="36"/>
        <v>273.98991857562999</v>
      </c>
      <c r="DC72" s="1">
        <f t="shared" si="36"/>
        <v>265.4173555383349</v>
      </c>
      <c r="DD72" s="1">
        <f t="shared" si="36"/>
        <v>256.92685854049915</v>
      </c>
      <c r="DE72" s="1">
        <f t="shared" si="36"/>
        <v>248.5371213753123</v>
      </c>
      <c r="DF72" s="1">
        <f t="shared" si="36"/>
        <v>240.26565439391015</v>
      </c>
      <c r="DG72" s="1">
        <f t="shared" si="36"/>
        <v>232.12857902001031</v>
      </c>
      <c r="DH72" s="1">
        <f t="shared" si="36"/>
        <v>224.1404386568266</v>
      </c>
      <c r="DI72" s="1">
        <f t="shared" si="36"/>
        <v>216.31402820713831</v>
      </c>
      <c r="DJ72" s="1">
        <f t="shared" si="36"/>
        <v>208.66024420391773</v>
      </c>
      <c r="DK72" s="1">
        <f t="shared" si="36"/>
        <v>201.1879573020889</v>
      </c>
      <c r="DL72" s="1">
        <f t="shared" si="36"/>
        <v>193.90390861494134</v>
      </c>
      <c r="DM72" s="1">
        <f t="shared" si="36"/>
        <v>186.81263109481239</v>
      </c>
      <c r="DN72" s="1">
        <f t="shared" si="36"/>
        <v>179.9163968604168</v>
      </c>
      <c r="DO72" s="1">
        <f t="shared" si="36"/>
        <v>173.21519106628719</v>
      </c>
      <c r="DP72" s="1">
        <f t="shared" si="36"/>
        <v>166.70671259693137</v>
      </c>
      <c r="DQ72" s="1">
        <f t="shared" si="36"/>
        <v>160.38640155324902</v>
      </c>
      <c r="DR72" s="1">
        <f t="shared" si="36"/>
        <v>154.24749318520327</v>
      </c>
      <c r="DS72" s="1">
        <f t="shared" si="36"/>
        <v>148.28109761636608</v>
      </c>
      <c r="DT72" s="1">
        <f t="shared" si="36"/>
        <v>142.47630440628049</v>
      </c>
      <c r="DU72" s="1">
        <f t="shared" si="36"/>
        <v>136.82031070900081</v>
      </c>
      <c r="DV72" s="1">
        <f t="shared" si="36"/>
        <v>131.2985715138783</v>
      </c>
      <c r="DW72" s="1">
        <f t="shared" si="36"/>
        <v>125.89497020065411</v>
      </c>
      <c r="DX72" s="1">
        <f t="shared" si="36"/>
        <v>120.59200740794033</v>
      </c>
      <c r="DY72" s="1">
        <f t="shared" si="36"/>
        <v>115.37100600471618</v>
      </c>
      <c r="DZ72" s="1">
        <f t="shared" si="36"/>
        <v>110.21232977073687</v>
      </c>
      <c r="EA72" s="1">
        <f t="shared" si="36"/>
        <v>105.09561323567564</v>
      </c>
      <c r="EB72" s="1">
        <f t="shared" si="36"/>
        <v>100</v>
      </c>
    </row>
    <row r="73" spans="4:132">
      <c r="D73" s="2"/>
      <c r="E73" s="2"/>
      <c r="F73" s="1">
        <v>24</v>
      </c>
      <c r="G73" s="1">
        <f>$C$20/($C$21-$C$22*G74)</f>
        <v>0.39484815638014015</v>
      </c>
      <c r="H73" s="1">
        <f>$C$20/($C$21-$C$22*H74)</f>
        <v>0.39484815638014015</v>
      </c>
      <c r="I73" s="1">
        <f>$C$20/($C$21-$C$22*I74)</f>
        <v>0.39484815638014015</v>
      </c>
      <c r="J73" s="1">
        <f>$C$20/($C$21-$C$22*J74)</f>
        <v>0.39484815638014015</v>
      </c>
      <c r="K73" s="1">
        <f>$C$20/($C$21-$C$22*K74)</f>
        <v>0.39484815638014015</v>
      </c>
      <c r="L73" s="1">
        <f>$C$20/($C$21-$C$22*L74)</f>
        <v>0.39484815638014015</v>
      </c>
      <c r="M73" s="1">
        <f>$C$20/($C$21-$C$22*M74)</f>
        <v>0.39484815638014015</v>
      </c>
      <c r="N73" s="1">
        <f>$C$20/($C$21-$C$22*N74)</f>
        <v>0.39484815638014015</v>
      </c>
      <c r="O73" s="1">
        <f>$C$20/($C$21-$C$22*O74)</f>
        <v>0.39484815638014015</v>
      </c>
      <c r="P73" s="1">
        <f>$C$20/($C$21-$C$22*P74)</f>
        <v>0.39484815638014015</v>
      </c>
      <c r="Q73" s="1">
        <f>$C$20/($C$21-$C$22*Q74)</f>
        <v>0.39484815638014015</v>
      </c>
      <c r="R73" s="1">
        <f>$C$20/($C$21-$C$22*R74)</f>
        <v>0.39484815638014015</v>
      </c>
      <c r="S73" s="1">
        <f>$C$20/($C$21-$C$22*S74)</f>
        <v>0.39484815638014015</v>
      </c>
      <c r="T73" s="1">
        <f>$C$20/($C$21-$C$22*T74)</f>
        <v>0.39484815638014015</v>
      </c>
      <c r="U73" s="1">
        <f>$C$20/($C$21-$C$22*U74)</f>
        <v>0.39484815638014015</v>
      </c>
      <c r="V73" s="1">
        <f>$C$20/($C$21-$C$22*V74)</f>
        <v>0.39484815638014015</v>
      </c>
      <c r="W73" s="1">
        <f>$C$20/($C$21-$C$22*W74)</f>
        <v>0.39484815638014015</v>
      </c>
      <c r="X73" s="1">
        <f>$C$20/($C$21-$C$22*X74)</f>
        <v>0.39484815638014015</v>
      </c>
      <c r="Y73" s="1">
        <f>$C$20/($C$21-$C$22*Y74)</f>
        <v>0.39484815638014015</v>
      </c>
      <c r="Z73" s="1">
        <f>$C$20/($C$21-$C$22*Z74)</f>
        <v>0.39484815638014015</v>
      </c>
      <c r="AA73" s="1">
        <f>$C$20/($C$21-$C$22*AA74)</f>
        <v>0.39484815638014015</v>
      </c>
      <c r="AB73" s="1">
        <f>$C$20/($C$21-$C$22*AB74)</f>
        <v>0.39484815638014015</v>
      </c>
      <c r="AC73" s="1">
        <f>$C$20/($C$21-$C$22*AC74)</f>
        <v>0.39484815638014015</v>
      </c>
      <c r="AD73" s="1">
        <f>$C$20/($C$21-$C$22*AD74)</f>
        <v>0.39484815638014015</v>
      </c>
      <c r="AE73" s="1">
        <f>$C$20/($C$21-$C$22*AE74)</f>
        <v>0.39484815638014015</v>
      </c>
      <c r="AF73" s="1">
        <f>$C$20/($C$21-$C$22*AF74)</f>
        <v>0.39484815638014015</v>
      </c>
      <c r="AG73" s="1">
        <f>$C$20/($C$21-$C$22*AG74)</f>
        <v>0.39484815638014015</v>
      </c>
      <c r="AH73" s="1">
        <f>$C$20/($C$21-$C$22*AH74)</f>
        <v>0.39484815638014015</v>
      </c>
      <c r="AI73" s="1">
        <f>$C$20/($C$21-$C$22*AI74)</f>
        <v>0.39484815638014015</v>
      </c>
      <c r="AJ73" s="1">
        <f>$C$20/($C$21-$C$22*AJ74)</f>
        <v>0.39484815638014015</v>
      </c>
      <c r="AK73" s="2"/>
      <c r="AL73" s="2"/>
      <c r="AM73" s="1">
        <f>(AM74*$C$22-BS73)/($C$21-$C$22*G74)</f>
        <v>181.54555308595795</v>
      </c>
      <c r="AN73" s="1">
        <f>(AN74*$C$22-BT73)/($C$21-$C$22*H74)</f>
        <v>176.28186884247407</v>
      </c>
      <c r="AO73" s="1">
        <f>(AO74*$C$22-BU73)/($C$21-$C$22*I74)</f>
        <v>171.03097316171753</v>
      </c>
      <c r="AP73" s="1">
        <f>(AP74*$C$22-BV73)/($C$21-$C$22*J74)</f>
        <v>165.80550435929777</v>
      </c>
      <c r="AQ73" s="1">
        <f>(AQ74*$C$22-BW73)/($C$21-$C$22*K74)</f>
        <v>160.61780203273119</v>
      </c>
      <c r="AR73" s="1">
        <f>(AR74*$C$22-BX73)/($C$21-$C$22*L74)</f>
        <v>155.47976212124203</v>
      </c>
      <c r="AS73" s="1">
        <f>(AS74*$C$22-BY73)/($C$21-$C$22*M74)</f>
        <v>150.40269720824315</v>
      </c>
      <c r="AT73" s="1">
        <f>(AT74*$C$22-BZ73)/($C$21-$C$22*N74)</f>
        <v>145.39720371500684</v>
      </c>
      <c r="AU73" s="1">
        <f>(AU74*$C$22-CA73)/($C$21-$C$22*O74)</f>
        <v>140.47303755081757</v>
      </c>
      <c r="AV73" s="1">
        <f>(AV74*$C$22-CB73)/($C$21-$C$22*P74)</f>
        <v>135.63899968294274</v>
      </c>
      <c r="AW73" s="1">
        <f>(AW74*$C$22-CC73)/($C$21-$C$22*Q74)</f>
        <v>130.90283297038815</v>
      </c>
      <c r="AX73" s="1">
        <f>(AX74*$C$22-CD73)/($C$21-$C$22*R74)</f>
        <v>126.27113147017106</v>
      </c>
      <c r="AY73" s="1">
        <f>(AY74*$C$22-CE73)/($C$21-$C$22*S74)</f>
        <v>121.7492632754728</v>
      </c>
      <c r="AZ73" s="1">
        <f>(AZ74*$C$22-CF73)/($C$21-$C$22*T74)</f>
        <v>117.34130778342858</v>
      </c>
      <c r="BA73" s="1">
        <f>(BA74*$C$22-CG73)/($C$21-$C$22*U74)</f>
        <v>113.0500081185025</v>
      </c>
      <c r="BB73" s="1">
        <f>(BB74*$C$22-CH73)/($C$21-$C$22*V74)</f>
        <v>108.87673925752365</v>
      </c>
      <c r="BC73" s="1">
        <f>(BC74*$C$22-CI73)/($C$21-$C$22*W74)</f>
        <v>104.82149221673001</v>
      </c>
      <c r="BD73" s="1">
        <f>(BD74*$C$22-CJ73)/($C$21-$C$22*X74)</f>
        <v>100.88287447183917</v>
      </c>
      <c r="BE73" s="1">
        <f>(BE74*$C$22-CK73)/($C$21-$C$22*Y74)</f>
        <v>97.058126591503836</v>
      </c>
      <c r="BF73" s="1">
        <f>(BF74*$C$22-CL73)/($C$21-$C$22*Z74)</f>
        <v>93.343154874767563</v>
      </c>
      <c r="BG73" s="1">
        <f>(BG74*$C$22-CM73)/($C$21-$C$22*AA74)</f>
        <v>89.732579596520381</v>
      </c>
      <c r="BH73" s="1">
        <f>(BH74*$C$22-CN73)/($C$21-$C$22*AB74)</f>
        <v>86.219798283605044</v>
      </c>
      <c r="BI73" s="1">
        <f>(BI74*$C$22-CO73)/($C$21-$C$22*AC74)</f>
        <v>82.797063270193917</v>
      </c>
      <c r="BJ73" s="1">
        <f>(BJ74*$C$22-CP73)/($C$21-$C$22*AD74)</f>
        <v>79.455572616277507</v>
      </c>
      <c r="BK73" s="1">
        <f>(BK74*$C$22-CQ73)/($C$21-$C$22*AE74)</f>
        <v>76.185573319393171</v>
      </c>
      <c r="BL73" s="1">
        <f>(BL74*$C$22-CR73)/($C$21-$C$22*AF74)</f>
        <v>72.976475608734916</v>
      </c>
      <c r="BM73" s="1">
        <f>(BM74*$C$22-CS73)/($C$21-$C$22*AG74)</f>
        <v>69.816976984031953</v>
      </c>
      <c r="BN73" s="1">
        <f>(BN74*$C$22-CT73)/($C$21-$C$22*AH74)</f>
        <v>66.695194550401382</v>
      </c>
      <c r="BO73" s="1">
        <f>(BO74*$C$22-CU73)/($C$21-$C$22*AI74)</f>
        <v>63.598804105928856</v>
      </c>
      <c r="BP73" s="1">
        <f>(BP74*$C$22-CV73)/($C$21-$C$22*AJ74)</f>
        <v>60.51518436198598</v>
      </c>
      <c r="BQ73" s="2"/>
      <c r="BR73" s="2"/>
      <c r="BS73" s="1">
        <f t="shared" si="34"/>
        <v>-1076400000</v>
      </c>
      <c r="BT73" s="1">
        <f t="shared" si="31"/>
        <v>-1045191140.1663285</v>
      </c>
      <c r="BU73" s="1">
        <f t="shared" si="31"/>
        <v>-1014058104.8774376</v>
      </c>
      <c r="BV73" s="1">
        <f t="shared" si="31"/>
        <v>-983075827.84936035</v>
      </c>
      <c r="BW73" s="1">
        <f t="shared" si="31"/>
        <v>-952317471.67154562</v>
      </c>
      <c r="BX73" s="1">
        <f t="shared" si="31"/>
        <v>-921853568.44331121</v>
      </c>
      <c r="BY73" s="1">
        <f t="shared" si="31"/>
        <v>-891751191.49462056</v>
      </c>
      <c r="BZ73" s="1">
        <f t="shared" si="31"/>
        <v>-862073167.96534956</v>
      </c>
      <c r="CA73" s="1">
        <f t="shared" si="31"/>
        <v>-832877341.52379704</v>
      </c>
      <c r="CB73" s="1">
        <f t="shared" si="31"/>
        <v>-804215893.90069377</v>
      </c>
      <c r="CC73" s="1">
        <f t="shared" si="31"/>
        <v>-776134733.20721221</v>
      </c>
      <c r="CD73" s="1">
        <f t="shared" si="31"/>
        <v>-748672956.20365703</v>
      </c>
      <c r="CE73" s="1">
        <f t="shared" si="31"/>
        <v>-721862390.79989517</v>
      </c>
      <c r="CF73" s="1">
        <f t="shared" si="31"/>
        <v>-695727224.1104095</v>
      </c>
      <c r="CG73" s="1">
        <f t="shared" si="31"/>
        <v>-670283720.36818683</v>
      </c>
      <c r="CH73" s="1">
        <f t="shared" si="31"/>
        <v>-645540031.93517566</v>
      </c>
      <c r="CI73" s="1">
        <f t="shared" si="31"/>
        <v>-621496105.54583859</v>
      </c>
      <c r="CJ73" s="1">
        <f t="shared" si="31"/>
        <v>-598143684.79778981</v>
      </c>
      <c r="CK73" s="1">
        <f t="shared" si="31"/>
        <v>-575466408.77305758</v>
      </c>
      <c r="CL73" s="1">
        <f t="shared" si="31"/>
        <v>-553440005.54850948</v>
      </c>
      <c r="CM73" s="1">
        <f t="shared" si="31"/>
        <v>-532032578.2475217</v>
      </c>
      <c r="CN73" s="1">
        <f t="shared" si="31"/>
        <v>-511204980.20973462</v>
      </c>
      <c r="CO73" s="1">
        <f t="shared" si="31"/>
        <v>-490911274.82389498</v>
      </c>
      <c r="CP73" s="1">
        <f t="shared" si="31"/>
        <v>-471099274.59179556</v>
      </c>
      <c r="CQ73" s="1">
        <f t="shared" si="31"/>
        <v>-451711153.07994705</v>
      </c>
      <c r="CR73" s="1">
        <f t="shared" si="31"/>
        <v>-432684122.57969004</v>
      </c>
      <c r="CS73" s="1">
        <f t="shared" si="31"/>
        <v>-413951169.54492176</v>
      </c>
      <c r="CT73" s="1">
        <f t="shared" si="31"/>
        <v>-395441839.21740383</v>
      </c>
      <c r="CU73" s="1">
        <f t="shared" si="35"/>
        <v>-377083060.28960419</v>
      </c>
      <c r="CV73" s="1">
        <f t="shared" si="32"/>
        <v>-358800000</v>
      </c>
      <c r="CW73" s="2"/>
      <c r="CX73" s="2"/>
      <c r="CY73" s="1">
        <f t="shared" si="37"/>
        <v>300</v>
      </c>
      <c r="CZ73" s="1">
        <f t="shared" si="36"/>
        <v>291.30187853019186</v>
      </c>
      <c r="DA73" s="1">
        <f t="shared" si="36"/>
        <v>282.62488987665483</v>
      </c>
      <c r="DB73" s="1">
        <f t="shared" si="36"/>
        <v>273.98991857562999</v>
      </c>
      <c r="DC73" s="1">
        <f t="shared" si="36"/>
        <v>265.4173555383349</v>
      </c>
      <c r="DD73" s="1">
        <f t="shared" si="36"/>
        <v>256.92685854049921</v>
      </c>
      <c r="DE73" s="1">
        <f t="shared" si="36"/>
        <v>248.53712137531232</v>
      </c>
      <c r="DF73" s="1">
        <f t="shared" si="36"/>
        <v>240.26565439391018</v>
      </c>
      <c r="DG73" s="1">
        <f t="shared" si="36"/>
        <v>232.12857902001031</v>
      </c>
      <c r="DH73" s="1">
        <f t="shared" si="36"/>
        <v>224.14043865682663</v>
      </c>
      <c r="DI73" s="1">
        <f t="shared" si="36"/>
        <v>216.31402820713834</v>
      </c>
      <c r="DJ73" s="1">
        <f t="shared" si="36"/>
        <v>208.66024420391778</v>
      </c>
      <c r="DK73" s="1">
        <f t="shared" si="36"/>
        <v>201.18795730208896</v>
      </c>
      <c r="DL73" s="1">
        <f t="shared" si="36"/>
        <v>193.90390861494134</v>
      </c>
      <c r="DM73" s="1">
        <f t="shared" si="36"/>
        <v>186.81263109481242</v>
      </c>
      <c r="DN73" s="1">
        <f t="shared" si="36"/>
        <v>179.91639686041685</v>
      </c>
      <c r="DO73" s="1">
        <f t="shared" si="36"/>
        <v>173.21519106628722</v>
      </c>
      <c r="DP73" s="1">
        <f t="shared" si="36"/>
        <v>166.70671259693142</v>
      </c>
      <c r="DQ73" s="1">
        <f t="shared" si="36"/>
        <v>160.38640155324907</v>
      </c>
      <c r="DR73" s="1">
        <f t="shared" si="36"/>
        <v>154.2474931852033</v>
      </c>
      <c r="DS73" s="1">
        <f t="shared" si="36"/>
        <v>148.28109761636614</v>
      </c>
      <c r="DT73" s="1">
        <f t="shared" si="36"/>
        <v>142.47630440628052</v>
      </c>
      <c r="DU73" s="1">
        <f t="shared" si="36"/>
        <v>136.82031070900084</v>
      </c>
      <c r="DV73" s="1">
        <f t="shared" si="36"/>
        <v>131.29857151387836</v>
      </c>
      <c r="DW73" s="1">
        <f t="shared" si="36"/>
        <v>125.89497020065413</v>
      </c>
      <c r="DX73" s="1">
        <f t="shared" si="36"/>
        <v>120.59200740794036</v>
      </c>
      <c r="DY73" s="1">
        <f t="shared" si="36"/>
        <v>115.37100600471621</v>
      </c>
      <c r="DZ73" s="1">
        <f t="shared" si="36"/>
        <v>110.21232977073687</v>
      </c>
      <c r="EA73" s="1">
        <f t="shared" si="36"/>
        <v>105.09561323567564</v>
      </c>
      <c r="EB73" s="1">
        <f t="shared" si="36"/>
        <v>100</v>
      </c>
    </row>
    <row r="74" spans="4:132">
      <c r="D74" s="2"/>
      <c r="E74" s="2"/>
      <c r="F74" s="1">
        <v>23</v>
      </c>
      <c r="G74" s="1">
        <f>$C$20/($C$21-$C$22*G75)</f>
        <v>0.39484815638014015</v>
      </c>
      <c r="H74" s="1">
        <f>$C$20/($C$21-$C$22*H75)</f>
        <v>0.39484815638014015</v>
      </c>
      <c r="I74" s="1">
        <f>$C$20/($C$21-$C$22*I75)</f>
        <v>0.39484815638014015</v>
      </c>
      <c r="J74" s="1">
        <f>$C$20/($C$21-$C$22*J75)</f>
        <v>0.39484815638014015</v>
      </c>
      <c r="K74" s="1">
        <f>$C$20/($C$21-$C$22*K75)</f>
        <v>0.39484815638014015</v>
      </c>
      <c r="L74" s="1">
        <f>$C$20/($C$21-$C$22*L75)</f>
        <v>0.39484815638014015</v>
      </c>
      <c r="M74" s="1">
        <f>$C$20/($C$21-$C$22*M75)</f>
        <v>0.39484815638014015</v>
      </c>
      <c r="N74" s="1">
        <f>$C$20/($C$21-$C$22*N75)</f>
        <v>0.39484815638014015</v>
      </c>
      <c r="O74" s="1">
        <f>$C$20/($C$21-$C$22*O75)</f>
        <v>0.39484815638014015</v>
      </c>
      <c r="P74" s="1">
        <f>$C$20/($C$21-$C$22*P75)</f>
        <v>0.39484815638014015</v>
      </c>
      <c r="Q74" s="1">
        <f>$C$20/($C$21-$C$22*Q75)</f>
        <v>0.39484815638014015</v>
      </c>
      <c r="R74" s="1">
        <f>$C$20/($C$21-$C$22*R75)</f>
        <v>0.39484815638014015</v>
      </c>
      <c r="S74" s="1">
        <f>$C$20/($C$21-$C$22*S75)</f>
        <v>0.39484815638014015</v>
      </c>
      <c r="T74" s="1">
        <f>$C$20/($C$21-$C$22*T75)</f>
        <v>0.39484815638014015</v>
      </c>
      <c r="U74" s="1">
        <f>$C$20/($C$21-$C$22*U75)</f>
        <v>0.39484815638014015</v>
      </c>
      <c r="V74" s="1">
        <f>$C$20/($C$21-$C$22*V75)</f>
        <v>0.39484815638014015</v>
      </c>
      <c r="W74" s="1">
        <f>$C$20/($C$21-$C$22*W75)</f>
        <v>0.39484815638014015</v>
      </c>
      <c r="X74" s="1">
        <f>$C$20/($C$21-$C$22*X75)</f>
        <v>0.39484815638014015</v>
      </c>
      <c r="Y74" s="1">
        <f>$C$20/($C$21-$C$22*Y75)</f>
        <v>0.39484815638014015</v>
      </c>
      <c r="Z74" s="1">
        <f>$C$20/($C$21-$C$22*Z75)</f>
        <v>0.39484815638014015</v>
      </c>
      <c r="AA74" s="1">
        <f>$C$20/($C$21-$C$22*AA75)</f>
        <v>0.39484815638014015</v>
      </c>
      <c r="AB74" s="1">
        <f>$C$20/($C$21-$C$22*AB75)</f>
        <v>0.39484815638014015</v>
      </c>
      <c r="AC74" s="1">
        <f>$C$20/($C$21-$C$22*AC75)</f>
        <v>0.39484815638014015</v>
      </c>
      <c r="AD74" s="1">
        <f>$C$20/($C$21-$C$22*AD75)</f>
        <v>0.39484815638014015</v>
      </c>
      <c r="AE74" s="1">
        <f>$C$20/($C$21-$C$22*AE75)</f>
        <v>0.39484815638014015</v>
      </c>
      <c r="AF74" s="1">
        <f>$C$20/($C$21-$C$22*AF75)</f>
        <v>0.39484815638014015</v>
      </c>
      <c r="AG74" s="1">
        <f>$C$20/($C$21-$C$22*AG75)</f>
        <v>0.39484815638014015</v>
      </c>
      <c r="AH74" s="1">
        <f>$C$20/($C$21-$C$22*AH75)</f>
        <v>0.39484815638014015</v>
      </c>
      <c r="AI74" s="1">
        <f>$C$20/($C$21-$C$22*AI75)</f>
        <v>0.39484815638014015</v>
      </c>
      <c r="AJ74" s="1">
        <f>$C$20/($C$21-$C$22*AJ75)</f>
        <v>0.39484815638014015</v>
      </c>
      <c r="AK74" s="2"/>
      <c r="AL74" s="2"/>
      <c r="AM74" s="1">
        <f>(AM75*$C$22-BS74)/($C$21-$C$22*G75)</f>
        <v>181.54555308595795</v>
      </c>
      <c r="AN74" s="1">
        <f>(AN75*$C$22-BT74)/($C$21-$C$22*H75)</f>
        <v>176.2818688424741</v>
      </c>
      <c r="AO74" s="1">
        <f>(AO75*$C$22-BU74)/($C$21-$C$22*I75)</f>
        <v>171.03097316171753</v>
      </c>
      <c r="AP74" s="1">
        <f>(AP75*$C$22-BV74)/($C$21-$C$22*J75)</f>
        <v>165.8055043592978</v>
      </c>
      <c r="AQ74" s="1">
        <f>(AQ75*$C$22-BW74)/($C$21-$C$22*K75)</f>
        <v>160.61780203273119</v>
      </c>
      <c r="AR74" s="1">
        <f>(AR75*$C$22-BX74)/($C$21-$C$22*L75)</f>
        <v>155.47976212124206</v>
      </c>
      <c r="AS74" s="1">
        <f>(AS75*$C$22-BY74)/($C$21-$C$22*M75)</f>
        <v>150.40269720824318</v>
      </c>
      <c r="AT74" s="1">
        <f>(AT75*$C$22-BZ74)/($C$21-$C$22*N75)</f>
        <v>145.39720371500684</v>
      </c>
      <c r="AU74" s="1">
        <f>(AU75*$C$22-CA74)/($C$21-$C$22*O75)</f>
        <v>140.47303755081762</v>
      </c>
      <c r="AV74" s="1">
        <f>(AV75*$C$22-CB74)/($C$21-$C$22*P75)</f>
        <v>135.6389996829428</v>
      </c>
      <c r="AW74" s="1">
        <f>(AW75*$C$22-CC74)/($C$21-$C$22*Q75)</f>
        <v>130.9028329703882</v>
      </c>
      <c r="AX74" s="1">
        <f>(AX75*$C$22-CD74)/($C$21-$C$22*R75)</f>
        <v>126.27113147017108</v>
      </c>
      <c r="AY74" s="1">
        <f>(AY75*$C$22-CE74)/($C$21-$C$22*S75)</f>
        <v>121.74926327547283</v>
      </c>
      <c r="AZ74" s="1">
        <f>(AZ75*$C$22-CF74)/($C$21-$C$22*T75)</f>
        <v>117.3413077834286</v>
      </c>
      <c r="BA74" s="1">
        <f>(BA75*$C$22-CG74)/($C$21-$C$22*U75)</f>
        <v>113.05000811850255</v>
      </c>
      <c r="BB74" s="1">
        <f>(BB75*$C$22-CH74)/($C$21-$C$22*V75)</f>
        <v>108.87673925752368</v>
      </c>
      <c r="BC74" s="1">
        <f>(BC75*$C$22-CI74)/($C$21-$C$22*W75)</f>
        <v>104.82149221673004</v>
      </c>
      <c r="BD74" s="1">
        <f>(BD75*$C$22-CJ74)/($C$21-$C$22*X75)</f>
        <v>100.88287447183923</v>
      </c>
      <c r="BE74" s="1">
        <f>(BE75*$C$22-CK74)/($C$21-$C$22*Y75)</f>
        <v>97.058126591503878</v>
      </c>
      <c r="BF74" s="1">
        <f>(BF75*$C$22-CL74)/($C$21-$C$22*Z75)</f>
        <v>93.343154874767606</v>
      </c>
      <c r="BG74" s="1">
        <f>(BG75*$C$22-CM74)/($C$21-$C$22*AA75)</f>
        <v>89.732579596520409</v>
      </c>
      <c r="BH74" s="1">
        <f>(BH75*$C$22-CN74)/($C$21-$C$22*AB75)</f>
        <v>86.219798283605073</v>
      </c>
      <c r="BI74" s="1">
        <f>(BI75*$C$22-CO74)/($C$21-$C$22*AC75)</f>
        <v>82.797063270193917</v>
      </c>
      <c r="BJ74" s="1">
        <f>(BJ75*$C$22-CP74)/($C$21-$C$22*AD75)</f>
        <v>79.455572616277522</v>
      </c>
      <c r="BK74" s="1">
        <f>(BK75*$C$22-CQ74)/($C$21-$C$22*AE75)</f>
        <v>76.1855733193932</v>
      </c>
      <c r="BL74" s="1">
        <f>(BL75*$C$22-CR74)/($C$21-$C$22*AF75)</f>
        <v>72.97647560873493</v>
      </c>
      <c r="BM74" s="1">
        <f>(BM75*$C$22-CS74)/($C$21-$C$22*AG75)</f>
        <v>69.816976984031953</v>
      </c>
      <c r="BN74" s="1">
        <f>(BN75*$C$22-CT74)/($C$21-$C$22*AH75)</f>
        <v>66.695194550401382</v>
      </c>
      <c r="BO74" s="1">
        <f>(BO75*$C$22-CU74)/($C$21-$C$22*AI75)</f>
        <v>63.59880410592887</v>
      </c>
      <c r="BP74" s="1">
        <f>(BP75*$C$22-CV74)/($C$21-$C$22*AJ75)</f>
        <v>60.51518436198598</v>
      </c>
      <c r="BQ74" s="2"/>
      <c r="BR74" s="2"/>
      <c r="BS74" s="1">
        <f t="shared" si="34"/>
        <v>-1076400000</v>
      </c>
      <c r="BT74" s="1">
        <f t="shared" si="31"/>
        <v>-1045191140.1663285</v>
      </c>
      <c r="BU74" s="1">
        <f t="shared" si="31"/>
        <v>-1014058104.8774376</v>
      </c>
      <c r="BV74" s="1">
        <f t="shared" si="31"/>
        <v>-983075827.84936035</v>
      </c>
      <c r="BW74" s="1">
        <f t="shared" si="31"/>
        <v>-952317471.67154562</v>
      </c>
      <c r="BX74" s="1">
        <f t="shared" si="31"/>
        <v>-921853568.44331121</v>
      </c>
      <c r="BY74" s="1">
        <f t="shared" si="31"/>
        <v>-891751191.49462068</v>
      </c>
      <c r="BZ74" s="1">
        <f t="shared" si="31"/>
        <v>-862073167.96534979</v>
      </c>
      <c r="CA74" s="1">
        <f t="shared" si="31"/>
        <v>-832877341.52379715</v>
      </c>
      <c r="CB74" s="1">
        <f t="shared" si="31"/>
        <v>-804215893.90069401</v>
      </c>
      <c r="CC74" s="1">
        <f t="shared" si="31"/>
        <v>-776134733.20721257</v>
      </c>
      <c r="CD74" s="1">
        <f t="shared" si="31"/>
        <v>-748672956.20365727</v>
      </c>
      <c r="CE74" s="1">
        <f t="shared" si="31"/>
        <v>-721862390.79989529</v>
      </c>
      <c r="CF74" s="1">
        <f t="shared" si="31"/>
        <v>-695727224.11040962</v>
      </c>
      <c r="CG74" s="1">
        <f t="shared" si="31"/>
        <v>-670283720.36818707</v>
      </c>
      <c r="CH74" s="1">
        <f t="shared" si="31"/>
        <v>-645540031.9351759</v>
      </c>
      <c r="CI74" s="1">
        <f t="shared" si="31"/>
        <v>-621496105.54583871</v>
      </c>
      <c r="CJ74" s="1">
        <f t="shared" si="31"/>
        <v>-598143684.79779017</v>
      </c>
      <c r="CK74" s="1">
        <f t="shared" si="31"/>
        <v>-575466408.77305782</v>
      </c>
      <c r="CL74" s="1">
        <f t="shared" si="31"/>
        <v>-553440005.54850972</v>
      </c>
      <c r="CM74" s="1">
        <f t="shared" si="31"/>
        <v>-532032578.24752182</v>
      </c>
      <c r="CN74" s="1">
        <f t="shared" si="31"/>
        <v>-511204980.20973468</v>
      </c>
      <c r="CO74" s="1">
        <f t="shared" si="31"/>
        <v>-490911274.82389498</v>
      </c>
      <c r="CP74" s="1">
        <f t="shared" si="31"/>
        <v>-471099274.59179556</v>
      </c>
      <c r="CQ74" s="1">
        <f t="shared" si="31"/>
        <v>-451711153.07994717</v>
      </c>
      <c r="CR74" s="1">
        <f t="shared" si="31"/>
        <v>-432684122.5796901</v>
      </c>
      <c r="CS74" s="1">
        <f t="shared" si="31"/>
        <v>-413951169.54492187</v>
      </c>
      <c r="CT74" s="1">
        <f t="shared" si="31"/>
        <v>-395441839.21740395</v>
      </c>
      <c r="CU74" s="1">
        <f t="shared" si="35"/>
        <v>-377083060.28960425</v>
      </c>
      <c r="CV74" s="1">
        <f t="shared" si="32"/>
        <v>-358800000</v>
      </c>
      <c r="CW74" s="2"/>
      <c r="CX74" s="2"/>
      <c r="CY74" s="1">
        <f t="shared" si="37"/>
        <v>300</v>
      </c>
      <c r="CZ74" s="1">
        <f t="shared" si="36"/>
        <v>291.30187853019186</v>
      </c>
      <c r="DA74" s="1">
        <f t="shared" si="36"/>
        <v>282.62488987665483</v>
      </c>
      <c r="DB74" s="1">
        <f t="shared" si="36"/>
        <v>273.98991857562999</v>
      </c>
      <c r="DC74" s="1">
        <f t="shared" si="36"/>
        <v>265.4173555383349</v>
      </c>
      <c r="DD74" s="1">
        <f t="shared" si="36"/>
        <v>256.92685854049921</v>
      </c>
      <c r="DE74" s="1">
        <f t="shared" si="36"/>
        <v>248.53712137531238</v>
      </c>
      <c r="DF74" s="1">
        <f t="shared" si="36"/>
        <v>240.26565439391021</v>
      </c>
      <c r="DG74" s="1">
        <f t="shared" si="36"/>
        <v>232.12857902001036</v>
      </c>
      <c r="DH74" s="1">
        <f t="shared" si="36"/>
        <v>224.14043865682669</v>
      </c>
      <c r="DI74" s="1">
        <f t="shared" si="36"/>
        <v>216.31402820713839</v>
      </c>
      <c r="DJ74" s="1">
        <f t="shared" si="36"/>
        <v>208.66024420391784</v>
      </c>
      <c r="DK74" s="1">
        <f t="shared" si="36"/>
        <v>201.18795730208899</v>
      </c>
      <c r="DL74" s="1">
        <f t="shared" si="36"/>
        <v>193.90390861494137</v>
      </c>
      <c r="DM74" s="1">
        <f t="shared" si="36"/>
        <v>186.81263109481247</v>
      </c>
      <c r="DN74" s="1">
        <f t="shared" si="36"/>
        <v>179.91639686041691</v>
      </c>
      <c r="DO74" s="1">
        <f t="shared" si="36"/>
        <v>173.21519106628728</v>
      </c>
      <c r="DP74" s="1">
        <f t="shared" si="36"/>
        <v>166.70671259693148</v>
      </c>
      <c r="DQ74" s="1">
        <f t="shared" si="36"/>
        <v>160.38640155324913</v>
      </c>
      <c r="DR74" s="1">
        <f t="shared" si="36"/>
        <v>154.24749318520335</v>
      </c>
      <c r="DS74" s="1">
        <f t="shared" si="36"/>
        <v>148.28109761636617</v>
      </c>
      <c r="DT74" s="1">
        <f t="shared" si="36"/>
        <v>142.47630440628058</v>
      </c>
      <c r="DU74" s="1">
        <f t="shared" si="36"/>
        <v>136.82031070900084</v>
      </c>
      <c r="DV74" s="1">
        <f t="shared" si="36"/>
        <v>131.29857151387839</v>
      </c>
      <c r="DW74" s="1">
        <f t="shared" si="36"/>
        <v>125.89497020065417</v>
      </c>
      <c r="DX74" s="1">
        <f t="shared" si="36"/>
        <v>120.59200740794039</v>
      </c>
      <c r="DY74" s="1">
        <f t="shared" si="36"/>
        <v>115.37100600471624</v>
      </c>
      <c r="DZ74" s="1">
        <f t="shared" si="36"/>
        <v>110.21232977073687</v>
      </c>
      <c r="EA74" s="1">
        <f t="shared" si="36"/>
        <v>105.09561323567564</v>
      </c>
      <c r="EB74" s="1">
        <f t="shared" si="36"/>
        <v>100</v>
      </c>
    </row>
    <row r="75" spans="4:132">
      <c r="D75" s="2"/>
      <c r="E75" s="2"/>
      <c r="F75" s="1">
        <v>22</v>
      </c>
      <c r="G75" s="1">
        <f>$C$20/($C$21-$C$22*G76)</f>
        <v>0.39484815638014015</v>
      </c>
      <c r="H75" s="1">
        <f>$C$20/($C$21-$C$22*H76)</f>
        <v>0.39484815638014015</v>
      </c>
      <c r="I75" s="1">
        <f>$C$20/($C$21-$C$22*I76)</f>
        <v>0.39484815638014015</v>
      </c>
      <c r="J75" s="1">
        <f>$C$20/($C$21-$C$22*J76)</f>
        <v>0.39484815638014015</v>
      </c>
      <c r="K75" s="1">
        <f>$C$20/($C$21-$C$22*K76)</f>
        <v>0.39484815638014015</v>
      </c>
      <c r="L75" s="1">
        <f>$C$20/($C$21-$C$22*L76)</f>
        <v>0.39484815638014015</v>
      </c>
      <c r="M75" s="1">
        <f>$C$20/($C$21-$C$22*M76)</f>
        <v>0.39484815638014015</v>
      </c>
      <c r="N75" s="1">
        <f>$C$20/($C$21-$C$22*N76)</f>
        <v>0.39484815638014015</v>
      </c>
      <c r="O75" s="1">
        <f>$C$20/($C$21-$C$22*O76)</f>
        <v>0.39484815638014015</v>
      </c>
      <c r="P75" s="1">
        <f>$C$20/($C$21-$C$22*P76)</f>
        <v>0.39484815638014015</v>
      </c>
      <c r="Q75" s="1">
        <f>$C$20/($C$21-$C$22*Q76)</f>
        <v>0.39484815638014015</v>
      </c>
      <c r="R75" s="1">
        <f>$C$20/($C$21-$C$22*R76)</f>
        <v>0.39484815638014015</v>
      </c>
      <c r="S75" s="1">
        <f>$C$20/($C$21-$C$22*S76)</f>
        <v>0.39484815638014015</v>
      </c>
      <c r="T75" s="1">
        <f>$C$20/($C$21-$C$22*T76)</f>
        <v>0.39484815638014015</v>
      </c>
      <c r="U75" s="1">
        <f>$C$20/($C$21-$C$22*U76)</f>
        <v>0.39484815638014015</v>
      </c>
      <c r="V75" s="1">
        <f>$C$20/($C$21-$C$22*V76)</f>
        <v>0.39484815638014015</v>
      </c>
      <c r="W75" s="1">
        <f>$C$20/($C$21-$C$22*W76)</f>
        <v>0.39484815638014015</v>
      </c>
      <c r="X75" s="1">
        <f>$C$20/($C$21-$C$22*X76)</f>
        <v>0.39484815638014015</v>
      </c>
      <c r="Y75" s="1">
        <f>$C$20/($C$21-$C$22*Y76)</f>
        <v>0.39484815638014015</v>
      </c>
      <c r="Z75" s="1">
        <f>$C$20/($C$21-$C$22*Z76)</f>
        <v>0.39484815638014015</v>
      </c>
      <c r="AA75" s="1">
        <f>$C$20/($C$21-$C$22*AA76)</f>
        <v>0.39484815638014015</v>
      </c>
      <c r="AB75" s="1">
        <f>$C$20/($C$21-$C$22*AB76)</f>
        <v>0.39484815638014015</v>
      </c>
      <c r="AC75" s="1">
        <f>$C$20/($C$21-$C$22*AC76)</f>
        <v>0.39484815638014015</v>
      </c>
      <c r="AD75" s="1">
        <f>$C$20/($C$21-$C$22*AD76)</f>
        <v>0.39484815638014015</v>
      </c>
      <c r="AE75" s="1">
        <f>$C$20/($C$21-$C$22*AE76)</f>
        <v>0.39484815638014015</v>
      </c>
      <c r="AF75" s="1">
        <f>$C$20/($C$21-$C$22*AF76)</f>
        <v>0.39484815638014015</v>
      </c>
      <c r="AG75" s="1">
        <f>$C$20/($C$21-$C$22*AG76)</f>
        <v>0.39484815638014015</v>
      </c>
      <c r="AH75" s="1">
        <f>$C$20/($C$21-$C$22*AH76)</f>
        <v>0.39484815638014015</v>
      </c>
      <c r="AI75" s="1">
        <f>$C$20/($C$21-$C$22*AI76)</f>
        <v>0.39484815638014015</v>
      </c>
      <c r="AJ75" s="1">
        <f>$C$20/($C$21-$C$22*AJ76)</f>
        <v>0.39484815638014015</v>
      </c>
      <c r="AK75" s="2"/>
      <c r="AL75" s="2"/>
      <c r="AM75" s="1">
        <f>(AM76*$C$22-BS75)/($C$21-$C$22*G76)</f>
        <v>181.54555308595795</v>
      </c>
      <c r="AN75" s="1">
        <f>(AN76*$C$22-BT75)/($C$21-$C$22*H76)</f>
        <v>176.28186884247413</v>
      </c>
      <c r="AO75" s="1">
        <f>(AO76*$C$22-BU75)/($C$21-$C$22*I76)</f>
        <v>171.03097316171758</v>
      </c>
      <c r="AP75" s="1">
        <f>(AP76*$C$22-BV75)/($C$21-$C$22*J76)</f>
        <v>165.80550435929783</v>
      </c>
      <c r="AQ75" s="1">
        <f>(AQ76*$C$22-BW75)/($C$21-$C$22*K76)</f>
        <v>160.61780203273125</v>
      </c>
      <c r="AR75" s="1">
        <f>(AR76*$C$22-BX75)/($C$21-$C$22*L76)</f>
        <v>155.47976212124212</v>
      </c>
      <c r="AS75" s="1">
        <f>(AS76*$C$22-BY75)/($C$21-$C$22*M76)</f>
        <v>150.40269720824324</v>
      </c>
      <c r="AT75" s="1">
        <f>(AT76*$C$22-BZ75)/($C$21-$C$22*N76)</f>
        <v>145.3972037150069</v>
      </c>
      <c r="AU75" s="1">
        <f>(AU76*$C$22-CA75)/($C$21-$C$22*O76)</f>
        <v>140.47303755081765</v>
      </c>
      <c r="AV75" s="1">
        <f>(AV76*$C$22-CB75)/($C$21-$C$22*P76)</f>
        <v>135.63899968294285</v>
      </c>
      <c r="AW75" s="1">
        <f>(AW76*$C$22-CC75)/($C$21-$C$22*Q76)</f>
        <v>130.90283297038826</v>
      </c>
      <c r="AX75" s="1">
        <f>(AX76*$C$22-CD75)/($C$21-$C$22*R76)</f>
        <v>126.27113147017113</v>
      </c>
      <c r="AY75" s="1">
        <f>(AY76*$C$22-CE75)/($C$21-$C$22*S76)</f>
        <v>121.7492632754729</v>
      </c>
      <c r="AZ75" s="1">
        <f>(AZ76*$C$22-CF75)/($C$21-$C$22*T76)</f>
        <v>117.34130778342865</v>
      </c>
      <c r="BA75" s="1">
        <f>(BA76*$C$22-CG75)/($C$21-$C$22*U76)</f>
        <v>113.05000811850259</v>
      </c>
      <c r="BB75" s="1">
        <f>(BB76*$C$22-CH75)/($C$21-$C$22*V76)</f>
        <v>108.87673925752372</v>
      </c>
      <c r="BC75" s="1">
        <f>(BC76*$C$22-CI75)/($C$21-$C$22*W76)</f>
        <v>104.82149221673008</v>
      </c>
      <c r="BD75" s="1">
        <f>(BD76*$C$22-CJ75)/($C$21-$C$22*X76)</f>
        <v>100.88287447183926</v>
      </c>
      <c r="BE75" s="1">
        <f>(BE76*$C$22-CK75)/($C$21-$C$22*Y76)</f>
        <v>97.058126591503893</v>
      </c>
      <c r="BF75" s="1">
        <f>(BF76*$C$22-CL75)/($C$21-$C$22*Z76)</f>
        <v>93.343154874767649</v>
      </c>
      <c r="BG75" s="1">
        <f>(BG76*$C$22-CM75)/($C$21-$C$22*AA76)</f>
        <v>89.732579596520452</v>
      </c>
      <c r="BH75" s="1">
        <f>(BH76*$C$22-CN75)/($C$21-$C$22*AB76)</f>
        <v>86.219798283605115</v>
      </c>
      <c r="BI75" s="1">
        <f>(BI76*$C$22-CO75)/($C$21-$C$22*AC76)</f>
        <v>82.797063270193973</v>
      </c>
      <c r="BJ75" s="1">
        <f>(BJ76*$C$22-CP75)/($C$21-$C$22*AD76)</f>
        <v>79.45557261627755</v>
      </c>
      <c r="BK75" s="1">
        <f>(BK76*$C$22-CQ75)/($C$21-$C$22*AE76)</f>
        <v>76.185573319393214</v>
      </c>
      <c r="BL75" s="1">
        <f>(BL76*$C$22-CR75)/($C$21-$C$22*AF76)</f>
        <v>72.976475608734944</v>
      </c>
      <c r="BM75" s="1">
        <f>(BM76*$C$22-CS75)/($C$21-$C$22*AG76)</f>
        <v>69.816976984031967</v>
      </c>
      <c r="BN75" s="1">
        <f>(BN76*$C$22-CT75)/($C$21-$C$22*AH76)</f>
        <v>66.695194550401396</v>
      </c>
      <c r="BO75" s="1">
        <f>(BO76*$C$22-CU75)/($C$21-$C$22*AI76)</f>
        <v>63.59880410592887</v>
      </c>
      <c r="BP75" s="1">
        <f>(BP76*$C$22-CV75)/($C$21-$C$22*AJ76)</f>
        <v>60.51518436198598</v>
      </c>
      <c r="BQ75" s="2"/>
      <c r="BR75" s="2"/>
      <c r="BS75" s="1">
        <f t="shared" si="34"/>
        <v>-1076400000</v>
      </c>
      <c r="BT75" s="1">
        <f t="shared" si="31"/>
        <v>-1045191140.1663288</v>
      </c>
      <c r="BU75" s="1">
        <f t="shared" si="31"/>
        <v>-1014058104.8774377</v>
      </c>
      <c r="BV75" s="1">
        <f t="shared" si="31"/>
        <v>-983075827.84936082</v>
      </c>
      <c r="BW75" s="1">
        <f t="shared" si="31"/>
        <v>-952317471.67154586</v>
      </c>
      <c r="BX75" s="1">
        <f t="shared" si="31"/>
        <v>-921853568.44331133</v>
      </c>
      <c r="BY75" s="1">
        <f t="shared" si="31"/>
        <v>-891751191.49462104</v>
      </c>
      <c r="BZ75" s="1">
        <f t="shared" si="31"/>
        <v>-862073167.96534991</v>
      </c>
      <c r="CA75" s="1">
        <f t="shared" si="31"/>
        <v>-832877341.52379739</v>
      </c>
      <c r="CB75" s="1">
        <f t="shared" si="31"/>
        <v>-804215893.90069437</v>
      </c>
      <c r="CC75" s="1">
        <f t="shared" si="31"/>
        <v>-776134733.20721281</v>
      </c>
      <c r="CD75" s="1">
        <f t="shared" si="31"/>
        <v>-748672956.20365739</v>
      </c>
      <c r="CE75" s="1">
        <f t="shared" si="31"/>
        <v>-721862390.79989564</v>
      </c>
      <c r="CF75" s="1">
        <f t="shared" si="31"/>
        <v>-695727224.11040986</v>
      </c>
      <c r="CG75" s="1">
        <f t="shared" si="31"/>
        <v>-670283720.36818731</v>
      </c>
      <c r="CH75" s="1">
        <f t="shared" si="31"/>
        <v>-645540031.93517613</v>
      </c>
      <c r="CI75" s="1">
        <f t="shared" si="31"/>
        <v>-621496105.54583895</v>
      </c>
      <c r="CJ75" s="1">
        <f t="shared" si="31"/>
        <v>-598143684.79779029</v>
      </c>
      <c r="CK75" s="1">
        <f t="shared" si="31"/>
        <v>-575466408.77305794</v>
      </c>
      <c r="CL75" s="1">
        <f t="shared" si="31"/>
        <v>-553440005.54850984</v>
      </c>
      <c r="CM75" s="1">
        <f t="shared" si="31"/>
        <v>-532032578.24752194</v>
      </c>
      <c r="CN75" s="1">
        <f t="shared" si="31"/>
        <v>-511204980.20973492</v>
      </c>
      <c r="CO75" s="1">
        <f t="shared" si="31"/>
        <v>-490911274.82389522</v>
      </c>
      <c r="CP75" s="1">
        <f t="shared" si="31"/>
        <v>-471099274.59179574</v>
      </c>
      <c r="CQ75" s="1">
        <f t="shared" si="31"/>
        <v>-451711153.07994729</v>
      </c>
      <c r="CR75" s="1">
        <f t="shared" si="31"/>
        <v>-432684122.57969022</v>
      </c>
      <c r="CS75" s="1">
        <f t="shared" si="31"/>
        <v>-413951169.54492187</v>
      </c>
      <c r="CT75" s="1">
        <f t="shared" si="31"/>
        <v>-395441839.21740395</v>
      </c>
      <c r="CU75" s="1">
        <f t="shared" si="35"/>
        <v>-377083060.28960425</v>
      </c>
      <c r="CV75" s="1">
        <f t="shared" si="32"/>
        <v>-358800000</v>
      </c>
      <c r="CW75" s="2"/>
      <c r="CX75" s="2"/>
      <c r="CY75" s="1">
        <f t="shared" si="37"/>
        <v>300</v>
      </c>
      <c r="CZ75" s="1">
        <f t="shared" si="36"/>
        <v>291.30187853019191</v>
      </c>
      <c r="DA75" s="1">
        <f t="shared" si="36"/>
        <v>282.62488987665489</v>
      </c>
      <c r="DB75" s="1">
        <f t="shared" si="36"/>
        <v>273.98991857563004</v>
      </c>
      <c r="DC75" s="1">
        <f t="shared" si="36"/>
        <v>265.41735553833496</v>
      </c>
      <c r="DD75" s="1">
        <f t="shared" si="36"/>
        <v>256.92685854049932</v>
      </c>
      <c r="DE75" s="1">
        <f t="shared" si="36"/>
        <v>248.53712137531244</v>
      </c>
      <c r="DF75" s="1">
        <f t="shared" si="36"/>
        <v>240.26565439391027</v>
      </c>
      <c r="DG75" s="1">
        <f t="shared" si="36"/>
        <v>232.12857902001042</v>
      </c>
      <c r="DH75" s="1">
        <f t="shared" si="36"/>
        <v>224.14043865682675</v>
      </c>
      <c r="DI75" s="1">
        <f t="shared" si="36"/>
        <v>216.31402820713851</v>
      </c>
      <c r="DJ75" s="1">
        <f t="shared" si="36"/>
        <v>208.6602442039179</v>
      </c>
      <c r="DK75" s="1">
        <f t="shared" si="36"/>
        <v>201.1879573020891</v>
      </c>
      <c r="DL75" s="1">
        <f t="shared" si="36"/>
        <v>193.90390861494143</v>
      </c>
      <c r="DM75" s="1">
        <f t="shared" si="36"/>
        <v>186.81263109481253</v>
      </c>
      <c r="DN75" s="1">
        <f t="shared" si="36"/>
        <v>179.91639686041697</v>
      </c>
      <c r="DO75" s="1">
        <f t="shared" si="36"/>
        <v>173.21519106628733</v>
      </c>
      <c r="DP75" s="1">
        <f t="shared" si="36"/>
        <v>166.70671259693154</v>
      </c>
      <c r="DQ75" s="1">
        <f t="shared" si="36"/>
        <v>160.38640155324916</v>
      </c>
      <c r="DR75" s="1">
        <f t="shared" si="36"/>
        <v>154.24749318520344</v>
      </c>
      <c r="DS75" s="1">
        <f t="shared" si="36"/>
        <v>148.28109761636622</v>
      </c>
      <c r="DT75" s="1">
        <f t="shared" si="36"/>
        <v>142.47630440628063</v>
      </c>
      <c r="DU75" s="1">
        <f t="shared" si="36"/>
        <v>136.82031070900089</v>
      </c>
      <c r="DV75" s="1">
        <f t="shared" si="36"/>
        <v>131.29857151387841</v>
      </c>
      <c r="DW75" s="1">
        <f t="shared" si="36"/>
        <v>125.8949702006542</v>
      </c>
      <c r="DX75" s="1">
        <f t="shared" si="36"/>
        <v>120.5920074079404</v>
      </c>
      <c r="DY75" s="1">
        <f t="shared" si="36"/>
        <v>115.37100600471625</v>
      </c>
      <c r="DZ75" s="1">
        <f t="shared" si="36"/>
        <v>110.21232977073689</v>
      </c>
      <c r="EA75" s="1">
        <f t="shared" si="36"/>
        <v>105.09561323567564</v>
      </c>
      <c r="EB75" s="1">
        <f t="shared" si="36"/>
        <v>100</v>
      </c>
    </row>
    <row r="76" spans="4:132">
      <c r="D76" s="2"/>
      <c r="E76" s="2"/>
      <c r="F76" s="1">
        <v>21</v>
      </c>
      <c r="G76" s="1">
        <f>$C$20/($C$21-$C$22*G77)</f>
        <v>0.3948481563801402</v>
      </c>
      <c r="H76" s="1">
        <f>$C$20/($C$21-$C$22*H77)</f>
        <v>0.3948481563801402</v>
      </c>
      <c r="I76" s="1">
        <f>$C$20/($C$21-$C$22*I77)</f>
        <v>0.3948481563801402</v>
      </c>
      <c r="J76" s="1">
        <f>$C$20/($C$21-$C$22*J77)</f>
        <v>0.3948481563801402</v>
      </c>
      <c r="K76" s="1">
        <f>$C$20/($C$21-$C$22*K77)</f>
        <v>0.3948481563801402</v>
      </c>
      <c r="L76" s="1">
        <f>$C$20/($C$21-$C$22*L77)</f>
        <v>0.3948481563801402</v>
      </c>
      <c r="M76" s="1">
        <f>$C$20/($C$21-$C$22*M77)</f>
        <v>0.3948481563801402</v>
      </c>
      <c r="N76" s="1">
        <f>$C$20/($C$21-$C$22*N77)</f>
        <v>0.3948481563801402</v>
      </c>
      <c r="O76" s="1">
        <f>$C$20/($C$21-$C$22*O77)</f>
        <v>0.3948481563801402</v>
      </c>
      <c r="P76" s="1">
        <f>$C$20/($C$21-$C$22*P77)</f>
        <v>0.3948481563801402</v>
      </c>
      <c r="Q76" s="1">
        <f>$C$20/($C$21-$C$22*Q77)</f>
        <v>0.3948481563801402</v>
      </c>
      <c r="R76" s="1">
        <f>$C$20/($C$21-$C$22*R77)</f>
        <v>0.3948481563801402</v>
      </c>
      <c r="S76" s="1">
        <f>$C$20/($C$21-$C$22*S77)</f>
        <v>0.3948481563801402</v>
      </c>
      <c r="T76" s="1">
        <f>$C$20/($C$21-$C$22*T77)</f>
        <v>0.3948481563801402</v>
      </c>
      <c r="U76" s="1">
        <f>$C$20/($C$21-$C$22*U77)</f>
        <v>0.3948481563801402</v>
      </c>
      <c r="V76" s="1">
        <f>$C$20/($C$21-$C$22*V77)</f>
        <v>0.3948481563801402</v>
      </c>
      <c r="W76" s="1">
        <f>$C$20/($C$21-$C$22*W77)</f>
        <v>0.3948481563801402</v>
      </c>
      <c r="X76" s="1">
        <f>$C$20/($C$21-$C$22*X77)</f>
        <v>0.3948481563801402</v>
      </c>
      <c r="Y76" s="1">
        <f>$C$20/($C$21-$C$22*Y77)</f>
        <v>0.3948481563801402</v>
      </c>
      <c r="Z76" s="1">
        <f>$C$20/($C$21-$C$22*Z77)</f>
        <v>0.3948481563801402</v>
      </c>
      <c r="AA76" s="1">
        <f>$C$20/($C$21-$C$22*AA77)</f>
        <v>0.3948481563801402</v>
      </c>
      <c r="AB76" s="1">
        <f>$C$20/($C$21-$C$22*AB77)</f>
        <v>0.3948481563801402</v>
      </c>
      <c r="AC76" s="1">
        <f>$C$20/($C$21-$C$22*AC77)</f>
        <v>0.3948481563801402</v>
      </c>
      <c r="AD76" s="1">
        <f>$C$20/($C$21-$C$22*AD77)</f>
        <v>0.3948481563801402</v>
      </c>
      <c r="AE76" s="1">
        <f>$C$20/($C$21-$C$22*AE77)</f>
        <v>0.3948481563801402</v>
      </c>
      <c r="AF76" s="1">
        <f>$C$20/($C$21-$C$22*AF77)</f>
        <v>0.3948481563801402</v>
      </c>
      <c r="AG76" s="1">
        <f>$C$20/($C$21-$C$22*AG77)</f>
        <v>0.3948481563801402</v>
      </c>
      <c r="AH76" s="1">
        <f>$C$20/($C$21-$C$22*AH77)</f>
        <v>0.3948481563801402</v>
      </c>
      <c r="AI76" s="1">
        <f>$C$20/($C$21-$C$22*AI77)</f>
        <v>0.3948481563801402</v>
      </c>
      <c r="AJ76" s="1">
        <f>$C$20/($C$21-$C$22*AJ77)</f>
        <v>0.3948481563801402</v>
      </c>
      <c r="AK76" s="2"/>
      <c r="AL76" s="2"/>
      <c r="AM76" s="1">
        <f>(AM77*$C$22-BS76)/($C$21-$C$22*G77)</f>
        <v>181.54555308595795</v>
      </c>
      <c r="AN76" s="1">
        <f>(AN77*$C$22-BT76)/($C$21-$C$22*H77)</f>
        <v>176.28186884247415</v>
      </c>
      <c r="AO76" s="1">
        <f>(AO77*$C$22-BU76)/($C$21-$C$22*I77)</f>
        <v>171.03097316171761</v>
      </c>
      <c r="AP76" s="1">
        <f>(AP77*$C$22-BV76)/($C$21-$C$22*J77)</f>
        <v>165.80550435929786</v>
      </c>
      <c r="AQ76" s="1">
        <f>(AQ77*$C$22-BW76)/($C$21-$C$22*K77)</f>
        <v>160.6178020327313</v>
      </c>
      <c r="AR76" s="1">
        <f>(AR77*$C$22-BX76)/($C$21-$C$22*L77)</f>
        <v>155.47976212124217</v>
      </c>
      <c r="AS76" s="1">
        <f>(AS77*$C$22-BY76)/($C$21-$C$22*M77)</f>
        <v>150.40269720824327</v>
      </c>
      <c r="AT76" s="1">
        <f>(AT77*$C$22-BZ76)/($C$21-$C$22*N77)</f>
        <v>145.39720371500698</v>
      </c>
      <c r="AU76" s="1">
        <f>(AU77*$C$22-CA76)/($C$21-$C$22*O77)</f>
        <v>140.47303755081774</v>
      </c>
      <c r="AV76" s="1">
        <f>(AV77*$C$22-CB76)/($C$21-$C$22*P77)</f>
        <v>135.63899968294291</v>
      </c>
      <c r="AW76" s="1">
        <f>(AW77*$C$22-CC76)/($C$21-$C$22*Q77)</f>
        <v>130.90283297038832</v>
      </c>
      <c r="AX76" s="1">
        <f>(AX77*$C$22-CD76)/($C$21-$C$22*R77)</f>
        <v>126.2711314701712</v>
      </c>
      <c r="AY76" s="1">
        <f>(AY77*$C$22-CE76)/($C$21-$C$22*S77)</f>
        <v>121.74926327547296</v>
      </c>
      <c r="AZ76" s="1">
        <f>(AZ77*$C$22-CF76)/($C$21-$C$22*T77)</f>
        <v>117.34130778342872</v>
      </c>
      <c r="BA76" s="1">
        <f>(BA77*$C$22-CG76)/($C$21-$C$22*U77)</f>
        <v>113.05000811850265</v>
      </c>
      <c r="BB76" s="1">
        <f>(BB77*$C$22-CH76)/($C$21-$C$22*V77)</f>
        <v>108.87673925752377</v>
      </c>
      <c r="BC76" s="1">
        <f>(BC77*$C$22-CI76)/($C$21-$C$22*W77)</f>
        <v>104.82149221673014</v>
      </c>
      <c r="BD76" s="1">
        <f>(BD77*$C$22-CJ76)/($C$21-$C$22*X77)</f>
        <v>100.88287447183929</v>
      </c>
      <c r="BE76" s="1">
        <f>(BE77*$C$22-CK76)/($C$21-$C$22*Y77)</f>
        <v>97.058126591503935</v>
      </c>
      <c r="BF76" s="1">
        <f>(BF77*$C$22-CL76)/($C$21-$C$22*Z77)</f>
        <v>93.343154874767706</v>
      </c>
      <c r="BG76" s="1">
        <f>(BG77*$C$22-CM76)/($C$21-$C$22*AA77)</f>
        <v>89.732579596520495</v>
      </c>
      <c r="BH76" s="1">
        <f>(BH77*$C$22-CN76)/($C$21-$C$22*AB77)</f>
        <v>86.219798283605144</v>
      </c>
      <c r="BI76" s="1">
        <f>(BI77*$C$22-CO76)/($C$21-$C$22*AC77)</f>
        <v>82.797063270194016</v>
      </c>
      <c r="BJ76" s="1">
        <f>(BJ77*$C$22-CP76)/($C$21-$C$22*AD77)</f>
        <v>79.455572616277593</v>
      </c>
      <c r="BK76" s="1">
        <f>(BK77*$C$22-CQ76)/($C$21-$C$22*AE77)</f>
        <v>76.185573319393256</v>
      </c>
      <c r="BL76" s="1">
        <f>(BL77*$C$22-CR76)/($C$21-$C$22*AF77)</f>
        <v>72.976475608734972</v>
      </c>
      <c r="BM76" s="1">
        <f>(BM77*$C$22-CS76)/($C$21-$C$22*AG77)</f>
        <v>69.816976984031996</v>
      </c>
      <c r="BN76" s="1">
        <f>(BN77*$C$22-CT76)/($C$21-$C$22*AH77)</f>
        <v>66.695194550401425</v>
      </c>
      <c r="BO76" s="1">
        <f>(BO77*$C$22-CU76)/($C$21-$C$22*AI77)</f>
        <v>63.598804105928885</v>
      </c>
      <c r="BP76" s="1">
        <f>(BP77*$C$22-CV76)/($C$21-$C$22*AJ77)</f>
        <v>60.51518436198598</v>
      </c>
      <c r="BQ76" s="2"/>
      <c r="BR76" s="2"/>
      <c r="BS76" s="1">
        <f t="shared" si="34"/>
        <v>-1076400000</v>
      </c>
      <c r="BT76" s="1">
        <f t="shared" si="31"/>
        <v>-1045191140.1663288</v>
      </c>
      <c r="BU76" s="1">
        <f t="shared" si="31"/>
        <v>-1014058104.8774379</v>
      </c>
      <c r="BV76" s="1">
        <f t="shared" si="31"/>
        <v>-983075827.84936082</v>
      </c>
      <c r="BW76" s="1">
        <f t="shared" si="31"/>
        <v>-952317471.67154598</v>
      </c>
      <c r="BX76" s="1">
        <f t="shared" si="31"/>
        <v>-921853568.44331181</v>
      </c>
      <c r="BY76" s="1">
        <f t="shared" si="31"/>
        <v>-891751191.49462128</v>
      </c>
      <c r="BZ76" s="1">
        <f t="shared" si="31"/>
        <v>-862073167.96535039</v>
      </c>
      <c r="CA76" s="1">
        <f t="shared" si="31"/>
        <v>-832877341.52379787</v>
      </c>
      <c r="CB76" s="1">
        <f t="shared" si="31"/>
        <v>-804215893.90069473</v>
      </c>
      <c r="CC76" s="1">
        <f t="shared" si="31"/>
        <v>-776134733.20721328</v>
      </c>
      <c r="CD76" s="1">
        <f t="shared" si="31"/>
        <v>-748672956.20365798</v>
      </c>
      <c r="CE76" s="1">
        <f t="shared" si="31"/>
        <v>-721862390.799896</v>
      </c>
      <c r="CF76" s="1">
        <f t="shared" ref="CF76:CF96" si="38">-$C$10*$C$9/$C$7*DL44</f>
        <v>-695727224.11041021</v>
      </c>
      <c r="CG76" s="1">
        <f t="shared" ref="CG76:CG96" si="39">-$C$10*$C$9/$C$7*DM44</f>
        <v>-670283720.36818767</v>
      </c>
      <c r="CH76" s="1">
        <f t="shared" ref="CH76:CH96" si="40">-$C$10*$C$9/$C$7*DN44</f>
        <v>-645540031.93517637</v>
      </c>
      <c r="CI76" s="1">
        <f t="shared" ref="CI76:CI96" si="41">-$C$10*$C$9/$C$7*DO44</f>
        <v>-621496105.54583931</v>
      </c>
      <c r="CJ76" s="1">
        <f t="shared" ref="CJ76:CJ96" si="42">-$C$10*$C$9/$C$7*DP44</f>
        <v>-598143684.79779041</v>
      </c>
      <c r="CK76" s="1">
        <f t="shared" ref="CK76:CK96" si="43">-$C$10*$C$9/$C$7*DQ44</f>
        <v>-575466408.77305806</v>
      </c>
      <c r="CL76" s="1">
        <f t="shared" ref="CL76:CL96" si="44">-$C$10*$C$9/$C$7*DR44</f>
        <v>-553440005.54851019</v>
      </c>
      <c r="CM76" s="1">
        <f t="shared" ref="CM76:CM96" si="45">-$C$10*$C$9/$C$7*DS44</f>
        <v>-532032578.24752223</v>
      </c>
      <c r="CN76" s="1">
        <f t="shared" ref="CN76:CN96" si="46">-$C$10*$C$9/$C$7*DT44</f>
        <v>-511204980.2097351</v>
      </c>
      <c r="CO76" s="1">
        <f t="shared" ref="CO76:CO96" si="47">-$C$10*$C$9/$C$7*DU44</f>
        <v>-490911274.82389551</v>
      </c>
      <c r="CP76" s="1">
        <f t="shared" ref="CP76:CP96" si="48">-$C$10*$C$9/$C$7*DV44</f>
        <v>-471099274.59179598</v>
      </c>
      <c r="CQ76" s="1">
        <f t="shared" ref="CQ76:CQ96" si="49">-$C$10*$C$9/$C$7*DW44</f>
        <v>-451711153.07994747</v>
      </c>
      <c r="CR76" s="1">
        <f t="shared" ref="CR76:CR96" si="50">-$C$10*$C$9/$C$7*DX44</f>
        <v>-432684122.57969034</v>
      </c>
      <c r="CS76" s="1">
        <f t="shared" ref="CS76:CS96" si="51">-$C$10*$C$9/$C$7*DY44</f>
        <v>-413951169.54492205</v>
      </c>
      <c r="CT76" s="1">
        <f t="shared" ref="CT76:CT96" si="52">-$C$10*$C$9/$C$7*DZ44</f>
        <v>-395441839.21740413</v>
      </c>
      <c r="CU76" s="1">
        <f t="shared" si="35"/>
        <v>-377083060.28960431</v>
      </c>
      <c r="CV76" s="1">
        <f t="shared" si="32"/>
        <v>-358800000</v>
      </c>
      <c r="CW76" s="2"/>
      <c r="CX76" s="2"/>
      <c r="CY76" s="1">
        <f t="shared" si="37"/>
        <v>300</v>
      </c>
      <c r="CZ76" s="1">
        <f t="shared" si="36"/>
        <v>291.30187853019197</v>
      </c>
      <c r="DA76" s="1">
        <f t="shared" si="36"/>
        <v>282.62488987665495</v>
      </c>
      <c r="DB76" s="1">
        <f t="shared" si="36"/>
        <v>273.9899185756301</v>
      </c>
      <c r="DC76" s="1">
        <f t="shared" si="36"/>
        <v>265.41735553833507</v>
      </c>
      <c r="DD76" s="1">
        <f t="shared" si="36"/>
        <v>256.92685854049944</v>
      </c>
      <c r="DE76" s="1">
        <f t="shared" si="36"/>
        <v>248.53712137531252</v>
      </c>
      <c r="DF76" s="1">
        <f t="shared" si="36"/>
        <v>240.26565439391038</v>
      </c>
      <c r="DG76" s="1">
        <f t="shared" si="36"/>
        <v>232.12857902001053</v>
      </c>
      <c r="DH76" s="1">
        <f t="shared" si="36"/>
        <v>224.14043865682686</v>
      </c>
      <c r="DI76" s="1">
        <f t="shared" si="36"/>
        <v>216.31402820713862</v>
      </c>
      <c r="DJ76" s="1">
        <f t="shared" si="36"/>
        <v>208.66024420391801</v>
      </c>
      <c r="DK76" s="1">
        <f t="shared" si="36"/>
        <v>201.18795730208922</v>
      </c>
      <c r="DL76" s="1">
        <f t="shared" si="36"/>
        <v>193.90390861494154</v>
      </c>
      <c r="DM76" s="1">
        <f t="shared" si="36"/>
        <v>186.81263109481262</v>
      </c>
      <c r="DN76" s="1">
        <f t="shared" si="36"/>
        <v>179.91639686041705</v>
      </c>
      <c r="DO76" s="1">
        <f t="shared" si="36"/>
        <v>173.21519106628742</v>
      </c>
      <c r="DP76" s="1">
        <f t="shared" si="36"/>
        <v>166.7067125969316</v>
      </c>
      <c r="DQ76" s="1">
        <f t="shared" si="36"/>
        <v>160.38640155324921</v>
      </c>
      <c r="DR76" s="1">
        <f t="shared" si="36"/>
        <v>154.24749318520352</v>
      </c>
      <c r="DS76" s="1">
        <f t="shared" si="36"/>
        <v>148.28109761636631</v>
      </c>
      <c r="DT76" s="1">
        <f t="shared" si="36"/>
        <v>142.47630440628069</v>
      </c>
      <c r="DU76" s="1">
        <f t="shared" si="36"/>
        <v>136.82031070900098</v>
      </c>
      <c r="DV76" s="1">
        <f t="shared" si="36"/>
        <v>131.29857151387847</v>
      </c>
      <c r="DW76" s="1">
        <f t="shared" ref="DW76:DW96" si="53">AE76*DW75+BK76</f>
        <v>125.89497020065426</v>
      </c>
      <c r="DX76" s="1">
        <f t="shared" ref="DX76:DX96" si="54">AF76*DX75+BL76</f>
        <v>120.59200740794046</v>
      </c>
      <c r="DY76" s="1">
        <f t="shared" ref="DY76:DY96" si="55">AG76*DY75+BM76</f>
        <v>115.37100600471629</v>
      </c>
      <c r="DZ76" s="1">
        <f t="shared" ref="DZ76:DZ96" si="56">AH76*DZ75+BN76</f>
        <v>110.21232977073691</v>
      </c>
      <c r="EA76" s="1">
        <f t="shared" ref="EA76:EA96" si="57">AI76*EA75+BO76</f>
        <v>105.09561323567567</v>
      </c>
      <c r="EB76" s="1">
        <f t="shared" ref="EB76:EB96" si="58">AJ76*EB75+BP76</f>
        <v>100</v>
      </c>
    </row>
    <row r="77" spans="4:132">
      <c r="D77" s="2"/>
      <c r="E77" s="2"/>
      <c r="F77" s="1">
        <v>20</v>
      </c>
      <c r="G77" s="1">
        <f>$C$20/($C$21-$C$22*G78)</f>
        <v>0.39484815638014059</v>
      </c>
      <c r="H77" s="1">
        <f>$C$20/($C$21-$C$22*H78)</f>
        <v>0.39484815638014059</v>
      </c>
      <c r="I77" s="1">
        <f>$C$20/($C$21-$C$22*I78)</f>
        <v>0.39484815638014059</v>
      </c>
      <c r="J77" s="1">
        <f>$C$20/($C$21-$C$22*J78)</f>
        <v>0.39484815638014059</v>
      </c>
      <c r="K77" s="1">
        <f>$C$20/($C$21-$C$22*K78)</f>
        <v>0.39484815638014059</v>
      </c>
      <c r="L77" s="1">
        <f>$C$20/($C$21-$C$22*L78)</f>
        <v>0.39484815638014059</v>
      </c>
      <c r="M77" s="1">
        <f>$C$20/($C$21-$C$22*M78)</f>
        <v>0.39484815638014059</v>
      </c>
      <c r="N77" s="1">
        <f>$C$20/($C$21-$C$22*N78)</f>
        <v>0.39484815638014059</v>
      </c>
      <c r="O77" s="1">
        <f>$C$20/($C$21-$C$22*O78)</f>
        <v>0.39484815638014059</v>
      </c>
      <c r="P77" s="1">
        <f>$C$20/($C$21-$C$22*P78)</f>
        <v>0.39484815638014059</v>
      </c>
      <c r="Q77" s="1">
        <f>$C$20/($C$21-$C$22*Q78)</f>
        <v>0.39484815638014059</v>
      </c>
      <c r="R77" s="1">
        <f>$C$20/($C$21-$C$22*R78)</f>
        <v>0.39484815638014059</v>
      </c>
      <c r="S77" s="1">
        <f>$C$20/($C$21-$C$22*S78)</f>
        <v>0.39484815638014059</v>
      </c>
      <c r="T77" s="1">
        <f>$C$20/($C$21-$C$22*T78)</f>
        <v>0.39484815638014059</v>
      </c>
      <c r="U77" s="1">
        <f>$C$20/($C$21-$C$22*U78)</f>
        <v>0.39484815638014059</v>
      </c>
      <c r="V77" s="1">
        <f>$C$20/($C$21-$C$22*V78)</f>
        <v>0.39484815638014059</v>
      </c>
      <c r="W77" s="1">
        <f>$C$20/($C$21-$C$22*W78)</f>
        <v>0.39484815638014059</v>
      </c>
      <c r="X77" s="1">
        <f>$C$20/($C$21-$C$22*X78)</f>
        <v>0.39484815638014059</v>
      </c>
      <c r="Y77" s="1">
        <f>$C$20/($C$21-$C$22*Y78)</f>
        <v>0.39484815638014059</v>
      </c>
      <c r="Z77" s="1">
        <f>$C$20/($C$21-$C$22*Z78)</f>
        <v>0.39484815638014059</v>
      </c>
      <c r="AA77" s="1">
        <f>$C$20/($C$21-$C$22*AA78)</f>
        <v>0.39484815638014059</v>
      </c>
      <c r="AB77" s="1">
        <f>$C$20/($C$21-$C$22*AB78)</f>
        <v>0.39484815638014059</v>
      </c>
      <c r="AC77" s="1">
        <f>$C$20/($C$21-$C$22*AC78)</f>
        <v>0.39484815638014059</v>
      </c>
      <c r="AD77" s="1">
        <f>$C$20/($C$21-$C$22*AD78)</f>
        <v>0.39484815638014059</v>
      </c>
      <c r="AE77" s="1">
        <f>$C$20/($C$21-$C$22*AE78)</f>
        <v>0.39484815638014059</v>
      </c>
      <c r="AF77" s="1">
        <f>$C$20/($C$21-$C$22*AF78)</f>
        <v>0.39484815638014059</v>
      </c>
      <c r="AG77" s="1">
        <f>$C$20/($C$21-$C$22*AG78)</f>
        <v>0.39484815638014059</v>
      </c>
      <c r="AH77" s="1">
        <f>$C$20/($C$21-$C$22*AH78)</f>
        <v>0.39484815638014059</v>
      </c>
      <c r="AI77" s="1">
        <f>$C$20/($C$21-$C$22*AI78)</f>
        <v>0.39484815638014059</v>
      </c>
      <c r="AJ77" s="1">
        <f>$C$20/($C$21-$C$22*AJ78)</f>
        <v>0.39484815638014059</v>
      </c>
      <c r="AK77" s="2"/>
      <c r="AL77" s="2"/>
      <c r="AM77" s="1">
        <f>(AM78*$C$22-BS77)/($C$21-$C$22*G78)</f>
        <v>181.54555308595786</v>
      </c>
      <c r="AN77" s="1">
        <f>(AN78*$C$22-BT77)/($C$21-$C$22*H78)</f>
        <v>176.2818688424741</v>
      </c>
      <c r="AO77" s="1">
        <f>(AO78*$C$22-BU77)/($C$21-$C$22*I78)</f>
        <v>171.03097316171755</v>
      </c>
      <c r="AP77" s="1">
        <f>(AP78*$C$22-BV77)/($C$21-$C$22*J78)</f>
        <v>165.80550435929786</v>
      </c>
      <c r="AQ77" s="1">
        <f>(AQ78*$C$22-BW77)/($C$21-$C$22*K78)</f>
        <v>160.6178020327313</v>
      </c>
      <c r="AR77" s="1">
        <f>(AR78*$C$22-BX77)/($C$21-$C$22*L78)</f>
        <v>155.47976212124215</v>
      </c>
      <c r="AS77" s="1">
        <f>(AS78*$C$22-BY77)/($C$21-$C$22*M78)</f>
        <v>150.4026972082433</v>
      </c>
      <c r="AT77" s="1">
        <f>(AT78*$C$22-BZ77)/($C$21-$C$22*N78)</f>
        <v>145.39720371500698</v>
      </c>
      <c r="AU77" s="1">
        <f>(AU78*$C$22-CA77)/($C$21-$C$22*O78)</f>
        <v>140.47303755081776</v>
      </c>
      <c r="AV77" s="1">
        <f>(AV78*$C$22-CB77)/($C$21-$C$22*P78)</f>
        <v>135.63899968294291</v>
      </c>
      <c r="AW77" s="1">
        <f>(AW78*$C$22-CC77)/($C$21-$C$22*Q78)</f>
        <v>130.90283297038832</v>
      </c>
      <c r="AX77" s="1">
        <f>(AX78*$C$22-CD77)/($C$21-$C$22*R78)</f>
        <v>126.27113147017117</v>
      </c>
      <c r="AY77" s="1">
        <f>(AY78*$C$22-CE77)/($C$21-$C$22*S78)</f>
        <v>121.74926327547294</v>
      </c>
      <c r="AZ77" s="1">
        <f>(AZ78*$C$22-CF77)/($C$21-$C$22*T78)</f>
        <v>117.34130778342873</v>
      </c>
      <c r="BA77" s="1">
        <f>(BA78*$C$22-CG77)/($C$21-$C$22*U78)</f>
        <v>113.05000811850265</v>
      </c>
      <c r="BB77" s="1">
        <f>(BB78*$C$22-CH77)/($C$21-$C$22*V78)</f>
        <v>108.87673925752377</v>
      </c>
      <c r="BC77" s="1">
        <f>(BC78*$C$22-CI77)/($C$21-$C$22*W78)</f>
        <v>104.82149221673014</v>
      </c>
      <c r="BD77" s="1">
        <f>(BD78*$C$22-CJ77)/($C$21-$C$22*X78)</f>
        <v>100.8828744718393</v>
      </c>
      <c r="BE77" s="1">
        <f>(BE78*$C$22-CK77)/($C$21-$C$22*Y78)</f>
        <v>97.058126591503935</v>
      </c>
      <c r="BF77" s="1">
        <f>(BF78*$C$22-CL77)/($C$21-$C$22*Z78)</f>
        <v>93.343154874767706</v>
      </c>
      <c r="BG77" s="1">
        <f>(BG78*$C$22-CM77)/($C$21-$C$22*AA78)</f>
        <v>89.732579596520495</v>
      </c>
      <c r="BH77" s="1">
        <f>(BH78*$C$22-CN77)/($C$21-$C$22*AB78)</f>
        <v>86.21979828360513</v>
      </c>
      <c r="BI77" s="1">
        <f>(BI78*$C$22-CO77)/($C$21-$C$22*AC78)</f>
        <v>82.797063270194016</v>
      </c>
      <c r="BJ77" s="1">
        <f>(BJ78*$C$22-CP77)/($C$21-$C$22*AD78)</f>
        <v>79.455572616277578</v>
      </c>
      <c r="BK77" s="1">
        <f>(BK78*$C$22-CQ77)/($C$21-$C$22*AE78)</f>
        <v>76.185573319393242</v>
      </c>
      <c r="BL77" s="1">
        <f>(BL78*$C$22-CR77)/($C$21-$C$22*AF78)</f>
        <v>72.976475608734972</v>
      </c>
      <c r="BM77" s="1">
        <f>(BM78*$C$22-CS77)/($C$21-$C$22*AG78)</f>
        <v>69.816976984031982</v>
      </c>
      <c r="BN77" s="1">
        <f>(BN78*$C$22-CT77)/($C$21-$C$22*AH78)</f>
        <v>66.695194550401396</v>
      </c>
      <c r="BO77" s="1">
        <f>(BO78*$C$22-CU77)/($C$21-$C$22*AI78)</f>
        <v>63.598804105928856</v>
      </c>
      <c r="BP77" s="1">
        <f>(BP78*$C$22-CV77)/($C$21-$C$22*AJ78)</f>
        <v>60.515184361985952</v>
      </c>
      <c r="BQ77" s="2"/>
      <c r="BR77" s="2"/>
      <c r="BS77" s="1">
        <f t="shared" si="34"/>
        <v>-1076400000</v>
      </c>
      <c r="BT77" s="1">
        <f t="shared" ref="BT77:BT96" si="59">-$C$10*$C$9/$C$7*CZ45</f>
        <v>-1045191140.166329</v>
      </c>
      <c r="BU77" s="1">
        <f t="shared" ref="BU77:BU96" si="60">-$C$10*$C$9/$C$7*DA45</f>
        <v>-1014058104.8774382</v>
      </c>
      <c r="BV77" s="1">
        <f t="shared" ref="BV77:BV96" si="61">-$C$10*$C$9/$C$7*DB45</f>
        <v>-983075827.84936142</v>
      </c>
      <c r="BW77" s="1">
        <f t="shared" ref="BW77:BW96" si="62">-$C$10*$C$9/$C$7*DC45</f>
        <v>-952317471.6715467</v>
      </c>
      <c r="BX77" s="1">
        <f t="shared" ref="BX77:BX96" si="63">-$C$10*$C$9/$C$7*DD45</f>
        <v>-921853568.44331217</v>
      </c>
      <c r="BY77" s="1">
        <f t="shared" ref="BY77:BY96" si="64">-$C$10*$C$9/$C$7*DE45</f>
        <v>-891751191.49462187</v>
      </c>
      <c r="BZ77" s="1">
        <f t="shared" ref="BZ77:BZ96" si="65">-$C$10*$C$9/$C$7*DF45</f>
        <v>-862073167.96535087</v>
      </c>
      <c r="CA77" s="1">
        <f t="shared" ref="CA77:CA96" si="66">-$C$10*$C$9/$C$7*DG45</f>
        <v>-832877341.52379847</v>
      </c>
      <c r="CB77" s="1">
        <f t="shared" ref="CB77:CB96" si="67">-$C$10*$C$9/$C$7*DH45</f>
        <v>-804215893.9006952</v>
      </c>
      <c r="CC77" s="1">
        <f t="shared" ref="CC77:CC96" si="68">-$C$10*$C$9/$C$7*DI45</f>
        <v>-776134733.20721352</v>
      </c>
      <c r="CD77" s="1">
        <f t="shared" ref="CD77:CD96" si="69">-$C$10*$C$9/$C$7*DJ45</f>
        <v>-748672956.2036581</v>
      </c>
      <c r="CE77" s="1">
        <f t="shared" ref="CE77:CE96" si="70">-$C$10*$C$9/$C$7*DK45</f>
        <v>-721862390.79989636</v>
      </c>
      <c r="CF77" s="1">
        <f t="shared" si="38"/>
        <v>-695727224.11041069</v>
      </c>
      <c r="CG77" s="1">
        <f t="shared" si="39"/>
        <v>-670283720.36818802</v>
      </c>
      <c r="CH77" s="1">
        <f t="shared" si="40"/>
        <v>-645540031.93517673</v>
      </c>
      <c r="CI77" s="1">
        <f t="shared" si="41"/>
        <v>-621496105.54583955</v>
      </c>
      <c r="CJ77" s="1">
        <f t="shared" si="42"/>
        <v>-598143684.79779088</v>
      </c>
      <c r="CK77" s="1">
        <f t="shared" si="43"/>
        <v>-575466408.77305853</v>
      </c>
      <c r="CL77" s="1">
        <f t="shared" si="44"/>
        <v>-553440005.54851055</v>
      </c>
      <c r="CM77" s="1">
        <f t="shared" si="45"/>
        <v>-532032578.24752253</v>
      </c>
      <c r="CN77" s="1">
        <f t="shared" si="46"/>
        <v>-511204980.20973539</v>
      </c>
      <c r="CO77" s="1">
        <f t="shared" si="47"/>
        <v>-490911274.82389569</v>
      </c>
      <c r="CP77" s="1">
        <f t="shared" si="48"/>
        <v>-471099274.59179616</v>
      </c>
      <c r="CQ77" s="1">
        <f t="shared" si="49"/>
        <v>-451711153.07994759</v>
      </c>
      <c r="CR77" s="1">
        <f t="shared" si="50"/>
        <v>-432684122.57969052</v>
      </c>
      <c r="CS77" s="1">
        <f t="shared" si="51"/>
        <v>-413951169.54492211</v>
      </c>
      <c r="CT77" s="1">
        <f t="shared" si="52"/>
        <v>-395441839.21740413</v>
      </c>
      <c r="CU77" s="1">
        <f t="shared" si="35"/>
        <v>-377083060.28960437</v>
      </c>
      <c r="CV77" s="1">
        <f t="shared" si="32"/>
        <v>-358800000</v>
      </c>
      <c r="CW77" s="2"/>
      <c r="CX77" s="2"/>
      <c r="CY77" s="1">
        <f t="shared" si="37"/>
        <v>300.00000000000006</v>
      </c>
      <c r="CZ77" s="1">
        <f t="shared" ref="CZ77:CZ96" si="71">H77*CZ76+AN77</f>
        <v>291.30187853019208</v>
      </c>
      <c r="DA77" s="1">
        <f t="shared" ref="DA77:DA96" si="72">I77*DA76+AO77</f>
        <v>282.624889876655</v>
      </c>
      <c r="DB77" s="1">
        <f t="shared" ref="DB77:DB96" si="73">J77*DB76+AP77</f>
        <v>273.98991857563021</v>
      </c>
      <c r="DC77" s="1">
        <f t="shared" ref="DC77:DC96" si="74">K77*DC76+AQ77</f>
        <v>265.41735553833519</v>
      </c>
      <c r="DD77" s="1">
        <f t="shared" ref="DD77:DD96" si="75">L77*DD76+AR77</f>
        <v>256.92685854049955</v>
      </c>
      <c r="DE77" s="1">
        <f t="shared" ref="DE77:DE96" si="76">M77*DE76+AS77</f>
        <v>248.53712137531267</v>
      </c>
      <c r="DF77" s="1">
        <f t="shared" ref="DF77:DF96" si="77">N77*DF76+AT77</f>
        <v>240.26565439391052</v>
      </c>
      <c r="DG77" s="1">
        <f t="shared" ref="DG77:DG96" si="78">O77*DG76+AU77</f>
        <v>232.1285790200107</v>
      </c>
      <c r="DH77" s="1">
        <f t="shared" ref="DH77:DH96" si="79">P77*DH76+AV77</f>
        <v>224.14043865682697</v>
      </c>
      <c r="DI77" s="1">
        <f t="shared" ref="DI77:DI96" si="80">Q77*DI76+AW77</f>
        <v>216.31402820713873</v>
      </c>
      <c r="DJ77" s="1">
        <f t="shared" ref="DJ77:DJ96" si="81">R77*DJ76+AX77</f>
        <v>208.66024420391813</v>
      </c>
      <c r="DK77" s="1">
        <f t="shared" ref="DK77:DK96" si="82">S77*DK76+AY77</f>
        <v>201.18795730208933</v>
      </c>
      <c r="DL77" s="1">
        <f t="shared" ref="DL77:DL96" si="83">T77*DL76+AZ77</f>
        <v>193.90390861494166</v>
      </c>
      <c r="DM77" s="1">
        <f t="shared" ref="DM77:DM96" si="84">U77*DM76+BA77</f>
        <v>186.81263109481273</v>
      </c>
      <c r="DN77" s="1">
        <f t="shared" ref="DN77:DN96" si="85">V77*DN76+BB77</f>
        <v>179.91639686041714</v>
      </c>
      <c r="DO77" s="1">
        <f t="shared" ref="DO77:DO96" si="86">W77*DO76+BC77</f>
        <v>173.2151910662875</v>
      </c>
      <c r="DP77" s="1">
        <f t="shared" ref="DP77:DP96" si="87">X77*DP76+BD77</f>
        <v>166.70671259693171</v>
      </c>
      <c r="DQ77" s="1">
        <f t="shared" ref="DQ77:DQ96" si="88">Y77*DQ76+BE77</f>
        <v>160.3864015532493</v>
      </c>
      <c r="DR77" s="1">
        <f t="shared" ref="DR77:DR96" si="89">Z77*DR76+BF77</f>
        <v>154.24749318520361</v>
      </c>
      <c r="DS77" s="1">
        <f t="shared" ref="DS77:DS96" si="90">AA77*DS76+BG77</f>
        <v>148.2810976163664</v>
      </c>
      <c r="DT77" s="1">
        <f t="shared" ref="DT77:DT96" si="91">AB77*DT76+BH77</f>
        <v>142.47630440628075</v>
      </c>
      <c r="DU77" s="1">
        <f t="shared" ref="DU77:DU96" si="92">AC77*DU76+BI77</f>
        <v>136.82031070900106</v>
      </c>
      <c r="DV77" s="1">
        <f t="shared" ref="DV77:DV96" si="93">AD77*DV76+BJ77</f>
        <v>131.29857151387853</v>
      </c>
      <c r="DW77" s="1">
        <f t="shared" si="53"/>
        <v>125.89497020065431</v>
      </c>
      <c r="DX77" s="1">
        <f t="shared" si="54"/>
        <v>120.59200740794051</v>
      </c>
      <c r="DY77" s="1">
        <f t="shared" si="55"/>
        <v>115.37100600471635</v>
      </c>
      <c r="DZ77" s="1">
        <f t="shared" si="56"/>
        <v>110.21232977073694</v>
      </c>
      <c r="EA77" s="1">
        <f t="shared" si="57"/>
        <v>105.0956132356757</v>
      </c>
      <c r="EB77" s="1">
        <f t="shared" si="58"/>
        <v>100.00000000000001</v>
      </c>
    </row>
    <row r="78" spans="4:132">
      <c r="D78" s="2"/>
      <c r="E78" s="2"/>
      <c r="F78" s="1">
        <v>19</v>
      </c>
      <c r="G78" s="1">
        <f>$C$20/($C$21-$C$22*G79)</f>
        <v>0.3948481563801427</v>
      </c>
      <c r="H78" s="1">
        <f>$C$20/($C$21-$C$22*H79)</f>
        <v>0.3948481563801427</v>
      </c>
      <c r="I78" s="1">
        <f>$C$20/($C$21-$C$22*I79)</f>
        <v>0.3948481563801427</v>
      </c>
      <c r="J78" s="1">
        <f>$C$20/($C$21-$C$22*J79)</f>
        <v>0.3948481563801427</v>
      </c>
      <c r="K78" s="1">
        <f>$C$20/($C$21-$C$22*K79)</f>
        <v>0.3948481563801427</v>
      </c>
      <c r="L78" s="1">
        <f>$C$20/($C$21-$C$22*L79)</f>
        <v>0.3948481563801427</v>
      </c>
      <c r="M78" s="1">
        <f>$C$20/($C$21-$C$22*M79)</f>
        <v>0.3948481563801427</v>
      </c>
      <c r="N78" s="1">
        <f>$C$20/($C$21-$C$22*N79)</f>
        <v>0.3948481563801427</v>
      </c>
      <c r="O78" s="1">
        <f>$C$20/($C$21-$C$22*O79)</f>
        <v>0.3948481563801427</v>
      </c>
      <c r="P78" s="1">
        <f>$C$20/($C$21-$C$22*P79)</f>
        <v>0.3948481563801427</v>
      </c>
      <c r="Q78" s="1">
        <f>$C$20/($C$21-$C$22*Q79)</f>
        <v>0.3948481563801427</v>
      </c>
      <c r="R78" s="1">
        <f>$C$20/($C$21-$C$22*R79)</f>
        <v>0.3948481563801427</v>
      </c>
      <c r="S78" s="1">
        <f>$C$20/($C$21-$C$22*S79)</f>
        <v>0.3948481563801427</v>
      </c>
      <c r="T78" s="1">
        <f>$C$20/($C$21-$C$22*T79)</f>
        <v>0.3948481563801427</v>
      </c>
      <c r="U78" s="1">
        <f>$C$20/($C$21-$C$22*U79)</f>
        <v>0.3948481563801427</v>
      </c>
      <c r="V78" s="1">
        <f>$C$20/($C$21-$C$22*V79)</f>
        <v>0.3948481563801427</v>
      </c>
      <c r="W78" s="1">
        <f>$C$20/($C$21-$C$22*W79)</f>
        <v>0.3948481563801427</v>
      </c>
      <c r="X78" s="1">
        <f>$C$20/($C$21-$C$22*X79)</f>
        <v>0.3948481563801427</v>
      </c>
      <c r="Y78" s="1">
        <f>$C$20/($C$21-$C$22*Y79)</f>
        <v>0.3948481563801427</v>
      </c>
      <c r="Z78" s="1">
        <f>$C$20/($C$21-$C$22*Z79)</f>
        <v>0.3948481563801427</v>
      </c>
      <c r="AA78" s="1">
        <f>$C$20/($C$21-$C$22*AA79)</f>
        <v>0.3948481563801427</v>
      </c>
      <c r="AB78" s="1">
        <f>$C$20/($C$21-$C$22*AB79)</f>
        <v>0.3948481563801427</v>
      </c>
      <c r="AC78" s="1">
        <f>$C$20/($C$21-$C$22*AC79)</f>
        <v>0.3948481563801427</v>
      </c>
      <c r="AD78" s="1">
        <f>$C$20/($C$21-$C$22*AD79)</f>
        <v>0.3948481563801427</v>
      </c>
      <c r="AE78" s="1">
        <f>$C$20/($C$21-$C$22*AE79)</f>
        <v>0.3948481563801427</v>
      </c>
      <c r="AF78" s="1">
        <f>$C$20/($C$21-$C$22*AF79)</f>
        <v>0.3948481563801427</v>
      </c>
      <c r="AG78" s="1">
        <f>$C$20/($C$21-$C$22*AG79)</f>
        <v>0.3948481563801427</v>
      </c>
      <c r="AH78" s="1">
        <f>$C$20/($C$21-$C$22*AH79)</f>
        <v>0.3948481563801427</v>
      </c>
      <c r="AI78" s="1">
        <f>$C$20/($C$21-$C$22*AI79)</f>
        <v>0.3948481563801427</v>
      </c>
      <c r="AJ78" s="1">
        <f>$C$20/($C$21-$C$22*AJ79)</f>
        <v>0.3948481563801427</v>
      </c>
      <c r="AK78" s="2"/>
      <c r="AL78" s="2"/>
      <c r="AM78" s="1">
        <f>(AM79*$C$22-BS78)/($C$21-$C$22*G79)</f>
        <v>181.54555308595724</v>
      </c>
      <c r="AN78" s="1">
        <f>(AN79*$C$22-BT78)/($C$21-$C$22*H79)</f>
        <v>176.28186884247347</v>
      </c>
      <c r="AO78" s="1">
        <f>(AO79*$C$22-BU78)/($C$21-$C$22*I79)</f>
        <v>171.03097316171693</v>
      </c>
      <c r="AP78" s="1">
        <f>(AP79*$C$22-BV78)/($C$21-$C$22*J79)</f>
        <v>165.80550435929729</v>
      </c>
      <c r="AQ78" s="1">
        <f>(AQ79*$C$22-BW78)/($C$21-$C$22*K79)</f>
        <v>160.61780203273074</v>
      </c>
      <c r="AR78" s="1">
        <f>(AR79*$C$22-BX78)/($C$21-$C$22*L79)</f>
        <v>155.47976212124163</v>
      </c>
      <c r="AS78" s="1">
        <f>(AS79*$C$22-BY78)/($C$21-$C$22*M79)</f>
        <v>150.40269720824281</v>
      </c>
      <c r="AT78" s="1">
        <f>(AT79*$C$22-BZ78)/($C$21-$C$22*N79)</f>
        <v>145.3972037150065</v>
      </c>
      <c r="AU78" s="1">
        <f>(AU79*$C$22-CA78)/($C$21-$C$22*O79)</f>
        <v>140.47303755081728</v>
      </c>
      <c r="AV78" s="1">
        <f>(AV79*$C$22-CB78)/($C$21-$C$22*P79)</f>
        <v>135.63899968294248</v>
      </c>
      <c r="AW78" s="1">
        <f>(AW79*$C$22-CC78)/($C$21-$C$22*Q79)</f>
        <v>130.90283297038792</v>
      </c>
      <c r="AX78" s="1">
        <f>(AX79*$C$22-CD78)/($C$21-$C$22*R79)</f>
        <v>126.2711314701708</v>
      </c>
      <c r="AY78" s="1">
        <f>(AY79*$C$22-CE78)/($C$21-$C$22*S79)</f>
        <v>121.74926327547254</v>
      </c>
      <c r="AZ78" s="1">
        <f>(AZ79*$C$22-CF78)/($C$21-$C$22*T79)</f>
        <v>117.34130778342836</v>
      </c>
      <c r="BA78" s="1">
        <f>(BA79*$C$22-CG78)/($C$21-$C$22*U79)</f>
        <v>113.05000811850228</v>
      </c>
      <c r="BB78" s="1">
        <f>(BB79*$C$22-CH78)/($C$21-$C$22*V79)</f>
        <v>108.87673925752343</v>
      </c>
      <c r="BC78" s="1">
        <f>(BC79*$C$22-CI78)/($C$21-$C$22*W79)</f>
        <v>104.82149221672979</v>
      </c>
      <c r="BD78" s="1">
        <f>(BD79*$C$22-CJ78)/($C$21-$C$22*X79)</f>
        <v>100.88287447183897</v>
      </c>
      <c r="BE78" s="1">
        <f>(BE79*$C$22-CK78)/($C$21-$C$22*Y79)</f>
        <v>97.058126591503623</v>
      </c>
      <c r="BF78" s="1">
        <f>(BF79*$C$22-CL78)/($C$21-$C$22*Z79)</f>
        <v>93.343154874767393</v>
      </c>
      <c r="BG78" s="1">
        <f>(BG79*$C$22-CM78)/($C$21-$C$22*AA79)</f>
        <v>89.732579596520196</v>
      </c>
      <c r="BH78" s="1">
        <f>(BH79*$C$22-CN78)/($C$21-$C$22*AB79)</f>
        <v>86.21979828360486</v>
      </c>
      <c r="BI78" s="1">
        <f>(BI79*$C$22-CO78)/($C$21-$C$22*AC79)</f>
        <v>82.797063270193746</v>
      </c>
      <c r="BJ78" s="1">
        <f>(BJ79*$C$22-CP78)/($C$21-$C$22*AD79)</f>
        <v>79.455572616277323</v>
      </c>
      <c r="BK78" s="1">
        <f>(BK79*$C$22-CQ78)/($C$21-$C$22*AE79)</f>
        <v>76.185573319393001</v>
      </c>
      <c r="BL78" s="1">
        <f>(BL79*$C$22-CR78)/($C$21-$C$22*AF79)</f>
        <v>72.976475608734745</v>
      </c>
      <c r="BM78" s="1">
        <f>(BM79*$C$22-CS78)/($C$21-$C$22*AG79)</f>
        <v>69.81697698403174</v>
      </c>
      <c r="BN78" s="1">
        <f>(BN79*$C$22-CT78)/($C$21-$C$22*AH79)</f>
        <v>66.695194550401169</v>
      </c>
      <c r="BO78" s="1">
        <f>(BO79*$C$22-CU78)/($C$21-$C$22*AI79)</f>
        <v>63.598804105928636</v>
      </c>
      <c r="BP78" s="1">
        <f>(BP79*$C$22-CV78)/($C$21-$C$22*AJ79)</f>
        <v>60.515184361985739</v>
      </c>
      <c r="BQ78" s="2"/>
      <c r="BR78" s="2"/>
      <c r="BS78" s="1">
        <f t="shared" si="34"/>
        <v>-1076400000</v>
      </c>
      <c r="BT78" s="1">
        <f t="shared" si="59"/>
        <v>-1045191140.166329</v>
      </c>
      <c r="BU78" s="1">
        <f t="shared" si="60"/>
        <v>-1014058104.8774382</v>
      </c>
      <c r="BV78" s="1">
        <f t="shared" si="61"/>
        <v>-983075827.84936142</v>
      </c>
      <c r="BW78" s="1">
        <f t="shared" si="62"/>
        <v>-952317471.6715467</v>
      </c>
      <c r="BX78" s="1">
        <f t="shared" si="63"/>
        <v>-921853568.44331241</v>
      </c>
      <c r="BY78" s="1">
        <f t="shared" si="64"/>
        <v>-891751191.49462223</v>
      </c>
      <c r="BZ78" s="1">
        <f t="shared" si="65"/>
        <v>-862073167.96535122</v>
      </c>
      <c r="CA78" s="1">
        <f t="shared" si="66"/>
        <v>-832877341.5237987</v>
      </c>
      <c r="CB78" s="1">
        <f t="shared" si="67"/>
        <v>-804215893.90069556</v>
      </c>
      <c r="CC78" s="1">
        <f t="shared" si="68"/>
        <v>-776134733.207214</v>
      </c>
      <c r="CD78" s="1">
        <f t="shared" si="69"/>
        <v>-748672956.20365858</v>
      </c>
      <c r="CE78" s="1">
        <f t="shared" si="70"/>
        <v>-721862390.79989672</v>
      </c>
      <c r="CF78" s="1">
        <f t="shared" si="38"/>
        <v>-695727224.11041105</v>
      </c>
      <c r="CG78" s="1">
        <f t="shared" si="39"/>
        <v>-670283720.36818826</v>
      </c>
      <c r="CH78" s="1">
        <f t="shared" si="40"/>
        <v>-645540031.93517685</v>
      </c>
      <c r="CI78" s="1">
        <f t="shared" si="41"/>
        <v>-621496105.54583979</v>
      </c>
      <c r="CJ78" s="1">
        <f t="shared" si="42"/>
        <v>-598143684.79779112</v>
      </c>
      <c r="CK78" s="1">
        <f t="shared" si="43"/>
        <v>-575466408.77305865</v>
      </c>
      <c r="CL78" s="1">
        <f t="shared" si="44"/>
        <v>-553440005.54851067</v>
      </c>
      <c r="CM78" s="1">
        <f t="shared" si="45"/>
        <v>-532032578.24752271</v>
      </c>
      <c r="CN78" s="1">
        <f t="shared" si="46"/>
        <v>-511204980.20973563</v>
      </c>
      <c r="CO78" s="1">
        <f t="shared" si="47"/>
        <v>-490911274.82389593</v>
      </c>
      <c r="CP78" s="1">
        <f t="shared" si="48"/>
        <v>-471099274.59179634</v>
      </c>
      <c r="CQ78" s="1">
        <f t="shared" si="49"/>
        <v>-451711153.07994789</v>
      </c>
      <c r="CR78" s="1">
        <f t="shared" si="50"/>
        <v>-432684122.57969075</v>
      </c>
      <c r="CS78" s="1">
        <f t="shared" si="51"/>
        <v>-413951169.54492223</v>
      </c>
      <c r="CT78" s="1">
        <f t="shared" si="52"/>
        <v>-395441839.21740425</v>
      </c>
      <c r="CU78" s="1">
        <f t="shared" si="35"/>
        <v>-377083060.28960443</v>
      </c>
      <c r="CV78" s="1">
        <f t="shared" si="32"/>
        <v>-358800000</v>
      </c>
      <c r="CW78" s="2"/>
      <c r="CX78" s="2"/>
      <c r="CY78" s="1">
        <f t="shared" si="37"/>
        <v>300.00000000000006</v>
      </c>
      <c r="CZ78" s="1">
        <f t="shared" si="71"/>
        <v>291.30187853019208</v>
      </c>
      <c r="DA78" s="1">
        <f t="shared" si="72"/>
        <v>282.624889876655</v>
      </c>
      <c r="DB78" s="1">
        <f t="shared" si="73"/>
        <v>273.98991857563033</v>
      </c>
      <c r="DC78" s="1">
        <f t="shared" si="74"/>
        <v>265.41735553833524</v>
      </c>
      <c r="DD78" s="1">
        <f t="shared" si="75"/>
        <v>256.92685854049961</v>
      </c>
      <c r="DE78" s="1">
        <f t="shared" si="76"/>
        <v>248.53712137531278</v>
      </c>
      <c r="DF78" s="1">
        <f t="shared" si="77"/>
        <v>240.26565439391061</v>
      </c>
      <c r="DG78" s="1">
        <f t="shared" si="78"/>
        <v>232.12857902001076</v>
      </c>
      <c r="DH78" s="1">
        <f t="shared" si="79"/>
        <v>224.14043865682709</v>
      </c>
      <c r="DI78" s="1">
        <f t="shared" si="80"/>
        <v>216.31402820713885</v>
      </c>
      <c r="DJ78" s="1">
        <f t="shared" si="81"/>
        <v>208.66024420391824</v>
      </c>
      <c r="DK78" s="1">
        <f t="shared" si="82"/>
        <v>201.18795730208939</v>
      </c>
      <c r="DL78" s="1">
        <f t="shared" si="83"/>
        <v>193.90390861494174</v>
      </c>
      <c r="DM78" s="1">
        <f t="shared" si="84"/>
        <v>186.81263109481279</v>
      </c>
      <c r="DN78" s="1">
        <f t="shared" si="85"/>
        <v>179.91639686041722</v>
      </c>
      <c r="DO78" s="1">
        <f t="shared" si="86"/>
        <v>173.21519106628756</v>
      </c>
      <c r="DP78" s="1">
        <f t="shared" si="87"/>
        <v>166.70671259693177</v>
      </c>
      <c r="DQ78" s="1">
        <f t="shared" si="88"/>
        <v>160.38640155324936</v>
      </c>
      <c r="DR78" s="1">
        <f t="shared" si="89"/>
        <v>154.24749318520367</v>
      </c>
      <c r="DS78" s="1">
        <f t="shared" si="90"/>
        <v>148.28109761636642</v>
      </c>
      <c r="DT78" s="1">
        <f t="shared" si="91"/>
        <v>142.4763044062808</v>
      </c>
      <c r="DU78" s="1">
        <f t="shared" si="92"/>
        <v>136.82031070900112</v>
      </c>
      <c r="DV78" s="1">
        <f t="shared" si="93"/>
        <v>131.29857151387858</v>
      </c>
      <c r="DW78" s="1">
        <f t="shared" si="53"/>
        <v>125.89497020065437</v>
      </c>
      <c r="DX78" s="1">
        <f t="shared" si="54"/>
        <v>120.59200740794057</v>
      </c>
      <c r="DY78" s="1">
        <f t="shared" si="55"/>
        <v>115.37100600471636</v>
      </c>
      <c r="DZ78" s="1">
        <f t="shared" si="56"/>
        <v>110.21232977073697</v>
      </c>
      <c r="EA78" s="1">
        <f t="shared" si="57"/>
        <v>105.0956132356757</v>
      </c>
      <c r="EB78" s="1">
        <f t="shared" si="58"/>
        <v>100.00000000000001</v>
      </c>
    </row>
    <row r="79" spans="4:132">
      <c r="D79" s="2"/>
      <c r="E79" s="2"/>
      <c r="F79" s="1">
        <v>18</v>
      </c>
      <c r="G79" s="1">
        <f>$C$20/($C$21-$C$22*G80)</f>
        <v>0.39484815638015619</v>
      </c>
      <c r="H79" s="1">
        <f>$C$20/($C$21-$C$22*H80)</f>
        <v>0.39484815638015619</v>
      </c>
      <c r="I79" s="1">
        <f>$C$20/($C$21-$C$22*I80)</f>
        <v>0.39484815638015619</v>
      </c>
      <c r="J79" s="1">
        <f>$C$20/($C$21-$C$22*J80)</f>
        <v>0.39484815638015619</v>
      </c>
      <c r="K79" s="1">
        <f>$C$20/($C$21-$C$22*K80)</f>
        <v>0.39484815638015619</v>
      </c>
      <c r="L79" s="1">
        <f>$C$20/($C$21-$C$22*L80)</f>
        <v>0.39484815638015619</v>
      </c>
      <c r="M79" s="1">
        <f>$C$20/($C$21-$C$22*M80)</f>
        <v>0.39484815638015619</v>
      </c>
      <c r="N79" s="1">
        <f>$C$20/($C$21-$C$22*N80)</f>
        <v>0.39484815638015619</v>
      </c>
      <c r="O79" s="1">
        <f>$C$20/($C$21-$C$22*O80)</f>
        <v>0.39484815638015619</v>
      </c>
      <c r="P79" s="1">
        <f>$C$20/($C$21-$C$22*P80)</f>
        <v>0.39484815638015619</v>
      </c>
      <c r="Q79" s="1">
        <f>$C$20/($C$21-$C$22*Q80)</f>
        <v>0.39484815638015619</v>
      </c>
      <c r="R79" s="1">
        <f>$C$20/($C$21-$C$22*R80)</f>
        <v>0.39484815638015619</v>
      </c>
      <c r="S79" s="1">
        <f>$C$20/($C$21-$C$22*S80)</f>
        <v>0.39484815638015619</v>
      </c>
      <c r="T79" s="1">
        <f>$C$20/($C$21-$C$22*T80)</f>
        <v>0.39484815638015619</v>
      </c>
      <c r="U79" s="1">
        <f>$C$20/($C$21-$C$22*U80)</f>
        <v>0.39484815638015619</v>
      </c>
      <c r="V79" s="1">
        <f>$C$20/($C$21-$C$22*V80)</f>
        <v>0.39484815638015619</v>
      </c>
      <c r="W79" s="1">
        <f>$C$20/($C$21-$C$22*W80)</f>
        <v>0.39484815638015619</v>
      </c>
      <c r="X79" s="1">
        <f>$C$20/($C$21-$C$22*X80)</f>
        <v>0.39484815638015619</v>
      </c>
      <c r="Y79" s="1">
        <f>$C$20/($C$21-$C$22*Y80)</f>
        <v>0.39484815638015619</v>
      </c>
      <c r="Z79" s="1">
        <f>$C$20/($C$21-$C$22*Z80)</f>
        <v>0.39484815638015619</v>
      </c>
      <c r="AA79" s="1">
        <f>$C$20/($C$21-$C$22*AA80)</f>
        <v>0.39484815638015619</v>
      </c>
      <c r="AB79" s="1">
        <f>$C$20/($C$21-$C$22*AB80)</f>
        <v>0.39484815638015619</v>
      </c>
      <c r="AC79" s="1">
        <f>$C$20/($C$21-$C$22*AC80)</f>
        <v>0.39484815638015619</v>
      </c>
      <c r="AD79" s="1">
        <f>$C$20/($C$21-$C$22*AD80)</f>
        <v>0.39484815638015619</v>
      </c>
      <c r="AE79" s="1">
        <f>$C$20/($C$21-$C$22*AE80)</f>
        <v>0.39484815638015619</v>
      </c>
      <c r="AF79" s="1">
        <f>$C$20/($C$21-$C$22*AF80)</f>
        <v>0.39484815638015619</v>
      </c>
      <c r="AG79" s="1">
        <f>$C$20/($C$21-$C$22*AG80)</f>
        <v>0.39484815638015619</v>
      </c>
      <c r="AH79" s="1">
        <f>$C$20/($C$21-$C$22*AH80)</f>
        <v>0.39484815638015619</v>
      </c>
      <c r="AI79" s="1">
        <f>$C$20/($C$21-$C$22*AI80)</f>
        <v>0.39484815638015619</v>
      </c>
      <c r="AJ79" s="1">
        <f>$C$20/($C$21-$C$22*AJ80)</f>
        <v>0.39484815638015619</v>
      </c>
      <c r="AK79" s="2"/>
      <c r="AL79" s="2"/>
      <c r="AM79" s="1">
        <f>(AM80*$C$22-BS79)/($C$21-$C$22*G80)</f>
        <v>181.54555308595315</v>
      </c>
      <c r="AN79" s="1">
        <f>(AN80*$C$22-BT79)/($C$21-$C$22*H80)</f>
        <v>176.28186884246952</v>
      </c>
      <c r="AO79" s="1">
        <f>(AO80*$C$22-BU79)/($C$21-$C$22*I80)</f>
        <v>171.03097316171312</v>
      </c>
      <c r="AP79" s="1">
        <f>(AP80*$C$22-BV79)/($C$21-$C$22*J80)</f>
        <v>165.80550435929356</v>
      </c>
      <c r="AQ79" s="1">
        <f>(AQ80*$C$22-BW79)/($C$21-$C$22*K80)</f>
        <v>160.61780203272716</v>
      </c>
      <c r="AR79" s="1">
        <f>(AR80*$C$22-BX79)/($C$21-$C$22*L80)</f>
        <v>155.47976212123817</v>
      </c>
      <c r="AS79" s="1">
        <f>(AS80*$C$22-BY79)/($C$21-$C$22*M80)</f>
        <v>150.40269720823943</v>
      </c>
      <c r="AT79" s="1">
        <f>(AT80*$C$22-BZ79)/($C$21-$C$22*N80)</f>
        <v>145.39720371500326</v>
      </c>
      <c r="AU79" s="1">
        <f>(AU80*$C$22-CA79)/($C$21-$C$22*O80)</f>
        <v>140.47303755081413</v>
      </c>
      <c r="AV79" s="1">
        <f>(AV80*$C$22-CB79)/($C$21-$C$22*P80)</f>
        <v>135.63899968293944</v>
      </c>
      <c r="AW79" s="1">
        <f>(AW80*$C$22-CC79)/($C$21-$C$22*Q80)</f>
        <v>130.90283297038499</v>
      </c>
      <c r="AX79" s="1">
        <f>(AX80*$C$22-CD79)/($C$21-$C$22*R80)</f>
        <v>126.27113147016799</v>
      </c>
      <c r="AY79" s="1">
        <f>(AY80*$C$22-CE79)/($C$21-$C$22*S80)</f>
        <v>121.74926327546983</v>
      </c>
      <c r="AZ79" s="1">
        <f>(AZ80*$C$22-CF79)/($C$21-$C$22*T80)</f>
        <v>117.34130778342573</v>
      </c>
      <c r="BA79" s="1">
        <f>(BA80*$C$22-CG79)/($C$21-$C$22*U80)</f>
        <v>113.05000811849978</v>
      </c>
      <c r="BB79" s="1">
        <f>(BB80*$C$22-CH79)/($C$21-$C$22*V80)</f>
        <v>108.87673925752102</v>
      </c>
      <c r="BC79" s="1">
        <f>(BC80*$C$22-CI79)/($C$21-$C$22*W80)</f>
        <v>104.82149221672748</v>
      </c>
      <c r="BD79" s="1">
        <f>(BD80*$C$22-CJ79)/($C$21-$C$22*X80)</f>
        <v>100.88287447183674</v>
      </c>
      <c r="BE79" s="1">
        <f>(BE80*$C$22-CK79)/($C$21-$C$22*Y80)</f>
        <v>97.058126591501477</v>
      </c>
      <c r="BF79" s="1">
        <f>(BF80*$C$22-CL79)/($C$21-$C$22*Z80)</f>
        <v>93.343154874765318</v>
      </c>
      <c r="BG79" s="1">
        <f>(BG80*$C$22-CM79)/($C$21-$C$22*AA80)</f>
        <v>89.732579596518207</v>
      </c>
      <c r="BH79" s="1">
        <f>(BH80*$C$22-CN79)/($C$21-$C$22*AB80)</f>
        <v>86.219798283602941</v>
      </c>
      <c r="BI79" s="1">
        <f>(BI80*$C$22-CO79)/($C$21-$C$22*AC80)</f>
        <v>82.797063270191884</v>
      </c>
      <c r="BJ79" s="1">
        <f>(BJ80*$C$22-CP79)/($C$21-$C$22*AD80)</f>
        <v>79.455572616275546</v>
      </c>
      <c r="BK79" s="1">
        <f>(BK80*$C$22-CQ79)/($C$21-$C$22*AE80)</f>
        <v>76.18557331939131</v>
      </c>
      <c r="BL79" s="1">
        <f>(BL80*$C$22-CR79)/($C$21-$C$22*AF80)</f>
        <v>72.976475608733097</v>
      </c>
      <c r="BM79" s="1">
        <f>(BM80*$C$22-CS79)/($C$21-$C$22*AG80)</f>
        <v>69.816976984030163</v>
      </c>
      <c r="BN79" s="1">
        <f>(BN80*$C$22-CT79)/($C$21-$C$22*AH80)</f>
        <v>66.695194550399677</v>
      </c>
      <c r="BO79" s="1">
        <f>(BO80*$C$22-CU79)/($C$21-$C$22*AI80)</f>
        <v>63.598804105927208</v>
      </c>
      <c r="BP79" s="1">
        <f>(BP80*$C$22-CV79)/($C$21-$C$22*AJ80)</f>
        <v>60.515184361984382</v>
      </c>
      <c r="BQ79" s="2"/>
      <c r="BR79" s="2"/>
      <c r="BS79" s="1">
        <f t="shared" si="34"/>
        <v>-1076400000</v>
      </c>
      <c r="BT79" s="1">
        <f t="shared" si="59"/>
        <v>-1045191140.166329</v>
      </c>
      <c r="BU79" s="1">
        <f t="shared" si="60"/>
        <v>-1014058104.8774382</v>
      </c>
      <c r="BV79" s="1">
        <f t="shared" si="61"/>
        <v>-983075827.84936142</v>
      </c>
      <c r="BW79" s="1">
        <f t="shared" si="62"/>
        <v>-952317471.6715467</v>
      </c>
      <c r="BX79" s="1">
        <f t="shared" si="63"/>
        <v>-921853568.44331241</v>
      </c>
      <c r="BY79" s="1">
        <f t="shared" si="64"/>
        <v>-891751191.49462223</v>
      </c>
      <c r="BZ79" s="1">
        <f t="shared" si="65"/>
        <v>-862073167.96535122</v>
      </c>
      <c r="CA79" s="1">
        <f t="shared" si="66"/>
        <v>-832877341.5237987</v>
      </c>
      <c r="CB79" s="1">
        <f t="shared" si="67"/>
        <v>-804215893.90069556</v>
      </c>
      <c r="CC79" s="1">
        <f t="shared" si="68"/>
        <v>-776134733.20721424</v>
      </c>
      <c r="CD79" s="1">
        <f t="shared" si="69"/>
        <v>-748672956.2036587</v>
      </c>
      <c r="CE79" s="1">
        <f t="shared" si="70"/>
        <v>-721862390.79989672</v>
      </c>
      <c r="CF79" s="1">
        <f t="shared" si="38"/>
        <v>-695727224.11041105</v>
      </c>
      <c r="CG79" s="1">
        <f t="shared" si="39"/>
        <v>-670283720.3681885</v>
      </c>
      <c r="CH79" s="1">
        <f t="shared" si="40"/>
        <v>-645540031.93517721</v>
      </c>
      <c r="CI79" s="1">
        <f t="shared" si="41"/>
        <v>-621496105.54584002</v>
      </c>
      <c r="CJ79" s="1">
        <f t="shared" si="42"/>
        <v>-598143684.79779124</v>
      </c>
      <c r="CK79" s="1">
        <f t="shared" si="43"/>
        <v>-575466408.77305889</v>
      </c>
      <c r="CL79" s="1">
        <f t="shared" si="44"/>
        <v>-553440005.54851091</v>
      </c>
      <c r="CM79" s="1">
        <f t="shared" si="45"/>
        <v>-532032578.24752295</v>
      </c>
      <c r="CN79" s="1">
        <f t="shared" si="46"/>
        <v>-511204980.20973575</v>
      </c>
      <c r="CO79" s="1">
        <f t="shared" si="47"/>
        <v>-490911274.82389599</v>
      </c>
      <c r="CP79" s="1">
        <f t="shared" si="48"/>
        <v>-471099274.59179646</v>
      </c>
      <c r="CQ79" s="1">
        <f t="shared" si="49"/>
        <v>-451711153.07994789</v>
      </c>
      <c r="CR79" s="1">
        <f t="shared" si="50"/>
        <v>-432684122.57969075</v>
      </c>
      <c r="CS79" s="1">
        <f t="shared" si="51"/>
        <v>-413951169.54492223</v>
      </c>
      <c r="CT79" s="1">
        <f t="shared" si="52"/>
        <v>-395441839.21740425</v>
      </c>
      <c r="CU79" s="1">
        <f t="shared" si="35"/>
        <v>-377083060.28960443</v>
      </c>
      <c r="CV79" s="1">
        <f t="shared" si="32"/>
        <v>-358800000</v>
      </c>
      <c r="CW79" s="2"/>
      <c r="CX79" s="2"/>
      <c r="CY79" s="1">
        <f t="shared" si="37"/>
        <v>300</v>
      </c>
      <c r="CZ79" s="1">
        <f t="shared" si="71"/>
        <v>291.30187853019208</v>
      </c>
      <c r="DA79" s="1">
        <f t="shared" si="72"/>
        <v>282.624889876655</v>
      </c>
      <c r="DB79" s="1">
        <f t="shared" si="73"/>
        <v>273.98991857563033</v>
      </c>
      <c r="DC79" s="1">
        <f t="shared" si="74"/>
        <v>265.41735553833524</v>
      </c>
      <c r="DD79" s="1">
        <f t="shared" si="75"/>
        <v>256.92685854049961</v>
      </c>
      <c r="DE79" s="1">
        <f t="shared" si="76"/>
        <v>248.53712137531278</v>
      </c>
      <c r="DF79" s="1">
        <f t="shared" si="77"/>
        <v>240.26565439391064</v>
      </c>
      <c r="DG79" s="1">
        <f t="shared" si="78"/>
        <v>232.12857902001076</v>
      </c>
      <c r="DH79" s="1">
        <f t="shared" si="79"/>
        <v>224.14043865682711</v>
      </c>
      <c r="DI79" s="1">
        <f t="shared" si="80"/>
        <v>216.31402820713888</v>
      </c>
      <c r="DJ79" s="1">
        <f t="shared" si="81"/>
        <v>208.6602442039183</v>
      </c>
      <c r="DK79" s="1">
        <f t="shared" si="82"/>
        <v>201.18795730208939</v>
      </c>
      <c r="DL79" s="1">
        <f t="shared" si="83"/>
        <v>193.90390861494177</v>
      </c>
      <c r="DM79" s="1">
        <f t="shared" si="84"/>
        <v>186.81263109481284</v>
      </c>
      <c r="DN79" s="1">
        <f t="shared" si="85"/>
        <v>179.91639686041728</v>
      </c>
      <c r="DO79" s="1">
        <f t="shared" si="86"/>
        <v>173.21519106628762</v>
      </c>
      <c r="DP79" s="1">
        <f t="shared" si="87"/>
        <v>166.70671259693182</v>
      </c>
      <c r="DQ79" s="1">
        <f t="shared" si="88"/>
        <v>160.38640155324941</v>
      </c>
      <c r="DR79" s="1">
        <f t="shared" si="89"/>
        <v>154.24749318520369</v>
      </c>
      <c r="DS79" s="1">
        <f t="shared" si="90"/>
        <v>148.28109761636645</v>
      </c>
      <c r="DT79" s="1">
        <f t="shared" si="91"/>
        <v>142.47630440628083</v>
      </c>
      <c r="DU79" s="1">
        <f t="shared" si="92"/>
        <v>136.82031070900112</v>
      </c>
      <c r="DV79" s="1">
        <f t="shared" si="93"/>
        <v>131.29857151387858</v>
      </c>
      <c r="DW79" s="1">
        <f t="shared" si="53"/>
        <v>125.8949702006544</v>
      </c>
      <c r="DX79" s="1">
        <f t="shared" si="54"/>
        <v>120.59200740794057</v>
      </c>
      <c r="DY79" s="1">
        <f t="shared" si="55"/>
        <v>115.37100600471635</v>
      </c>
      <c r="DZ79" s="1">
        <f t="shared" si="56"/>
        <v>110.21232977073697</v>
      </c>
      <c r="EA79" s="1">
        <f t="shared" si="57"/>
        <v>105.0956132356757</v>
      </c>
      <c r="EB79" s="1">
        <f t="shared" si="58"/>
        <v>100</v>
      </c>
    </row>
    <row r="80" spans="4:132">
      <c r="D80" s="2"/>
      <c r="E80" s="2"/>
      <c r="F80" s="1">
        <v>17</v>
      </c>
      <c r="G80" s="1">
        <f>$C$20/($C$21-$C$22*G81)</f>
        <v>0.39484815638024295</v>
      </c>
      <c r="H80" s="1">
        <f>$C$20/($C$21-$C$22*H81)</f>
        <v>0.39484815638024295</v>
      </c>
      <c r="I80" s="1">
        <f>$C$20/($C$21-$C$22*I81)</f>
        <v>0.39484815638024295</v>
      </c>
      <c r="J80" s="1">
        <f>$C$20/($C$21-$C$22*J81)</f>
        <v>0.39484815638024295</v>
      </c>
      <c r="K80" s="1">
        <f>$C$20/($C$21-$C$22*K81)</f>
        <v>0.39484815638024295</v>
      </c>
      <c r="L80" s="1">
        <f>$C$20/($C$21-$C$22*L81)</f>
        <v>0.39484815638024295</v>
      </c>
      <c r="M80" s="1">
        <f>$C$20/($C$21-$C$22*M81)</f>
        <v>0.39484815638024295</v>
      </c>
      <c r="N80" s="1">
        <f>$C$20/($C$21-$C$22*N81)</f>
        <v>0.39484815638024295</v>
      </c>
      <c r="O80" s="1">
        <f>$C$20/($C$21-$C$22*O81)</f>
        <v>0.39484815638024295</v>
      </c>
      <c r="P80" s="1">
        <f>$C$20/($C$21-$C$22*P81)</f>
        <v>0.39484815638024295</v>
      </c>
      <c r="Q80" s="1">
        <f>$C$20/($C$21-$C$22*Q81)</f>
        <v>0.39484815638024295</v>
      </c>
      <c r="R80" s="1">
        <f>$C$20/($C$21-$C$22*R81)</f>
        <v>0.39484815638024295</v>
      </c>
      <c r="S80" s="1">
        <f>$C$20/($C$21-$C$22*S81)</f>
        <v>0.39484815638024295</v>
      </c>
      <c r="T80" s="1">
        <f>$C$20/($C$21-$C$22*T81)</f>
        <v>0.39484815638024295</v>
      </c>
      <c r="U80" s="1">
        <f>$C$20/($C$21-$C$22*U81)</f>
        <v>0.39484815638024295</v>
      </c>
      <c r="V80" s="1">
        <f>$C$20/($C$21-$C$22*V81)</f>
        <v>0.39484815638024295</v>
      </c>
      <c r="W80" s="1">
        <f>$C$20/($C$21-$C$22*W81)</f>
        <v>0.39484815638024295</v>
      </c>
      <c r="X80" s="1">
        <f>$C$20/($C$21-$C$22*X81)</f>
        <v>0.39484815638024295</v>
      </c>
      <c r="Y80" s="1">
        <f>$C$20/($C$21-$C$22*Y81)</f>
        <v>0.39484815638024295</v>
      </c>
      <c r="Z80" s="1">
        <f>$C$20/($C$21-$C$22*Z81)</f>
        <v>0.39484815638024295</v>
      </c>
      <c r="AA80" s="1">
        <f>$C$20/($C$21-$C$22*AA81)</f>
        <v>0.39484815638024295</v>
      </c>
      <c r="AB80" s="1">
        <f>$C$20/($C$21-$C$22*AB81)</f>
        <v>0.39484815638024295</v>
      </c>
      <c r="AC80" s="1">
        <f>$C$20/($C$21-$C$22*AC81)</f>
        <v>0.39484815638024295</v>
      </c>
      <c r="AD80" s="1">
        <f>$C$20/($C$21-$C$22*AD81)</f>
        <v>0.39484815638024295</v>
      </c>
      <c r="AE80" s="1">
        <f>$C$20/($C$21-$C$22*AE81)</f>
        <v>0.39484815638024295</v>
      </c>
      <c r="AF80" s="1">
        <f>$C$20/($C$21-$C$22*AF81)</f>
        <v>0.39484815638024295</v>
      </c>
      <c r="AG80" s="1">
        <f>$C$20/($C$21-$C$22*AG81)</f>
        <v>0.39484815638024295</v>
      </c>
      <c r="AH80" s="1">
        <f>$C$20/($C$21-$C$22*AH81)</f>
        <v>0.39484815638024295</v>
      </c>
      <c r="AI80" s="1">
        <f>$C$20/($C$21-$C$22*AI81)</f>
        <v>0.39484815638024295</v>
      </c>
      <c r="AJ80" s="1">
        <f>$C$20/($C$21-$C$22*AJ81)</f>
        <v>0.39484815638024295</v>
      </c>
      <c r="AK80" s="2"/>
      <c r="AL80" s="2"/>
      <c r="AM80" s="1">
        <f>(AM81*$C$22-BS80)/($C$21-$C$22*G81)</f>
        <v>181.54555308592711</v>
      </c>
      <c r="AN80" s="1">
        <f>(AN81*$C$22-BT80)/($C$21-$C$22*H81)</f>
        <v>176.28186884244423</v>
      </c>
      <c r="AO80" s="1">
        <f>(AO81*$C$22-BU80)/($C$21-$C$22*I81)</f>
        <v>171.03097316168859</v>
      </c>
      <c r="AP80" s="1">
        <f>(AP81*$C$22-BV80)/($C$21-$C$22*J81)</f>
        <v>165.8055043592698</v>
      </c>
      <c r="AQ80" s="1">
        <f>(AQ81*$C$22-BW80)/($C$21-$C$22*K81)</f>
        <v>160.61780203270413</v>
      </c>
      <c r="AR80" s="1">
        <f>(AR81*$C$22-BX80)/($C$21-$C$22*L81)</f>
        <v>155.47976212121588</v>
      </c>
      <c r="AS80" s="1">
        <f>(AS81*$C$22-BY80)/($C$21-$C$22*M81)</f>
        <v>150.40269720821783</v>
      </c>
      <c r="AT80" s="1">
        <f>(AT81*$C$22-BZ80)/($C$21-$C$22*N81)</f>
        <v>145.3972037149824</v>
      </c>
      <c r="AU80" s="1">
        <f>(AU81*$C$22-CA80)/($C$21-$C$22*O81)</f>
        <v>140.473037550794</v>
      </c>
      <c r="AV80" s="1">
        <f>(AV81*$C$22-CB80)/($C$21-$C$22*P81)</f>
        <v>135.63899968292</v>
      </c>
      <c r="AW80" s="1">
        <f>(AW81*$C$22-CC80)/($C$21-$C$22*Q81)</f>
        <v>130.90283297036621</v>
      </c>
      <c r="AX80" s="1">
        <f>(AX81*$C$22-CD80)/($C$21-$C$22*R81)</f>
        <v>126.27113147014987</v>
      </c>
      <c r="AY80" s="1">
        <f>(AY81*$C$22-CE80)/($C$21-$C$22*S81)</f>
        <v>121.74926327545239</v>
      </c>
      <c r="AZ80" s="1">
        <f>(AZ81*$C$22-CF80)/($C$21-$C$22*T81)</f>
        <v>117.34130778340894</v>
      </c>
      <c r="BA80" s="1">
        <f>(BA81*$C$22-CG80)/($C$21-$C$22*U81)</f>
        <v>113.05000811848356</v>
      </c>
      <c r="BB80" s="1">
        <f>(BB81*$C$22-CH80)/($C$21-$C$22*V81)</f>
        <v>108.87673925750541</v>
      </c>
      <c r="BC80" s="1">
        <f>(BC81*$C$22-CI80)/($C$21-$C$22*W81)</f>
        <v>104.82149221671246</v>
      </c>
      <c r="BD80" s="1">
        <f>(BD81*$C$22-CJ80)/($C$21-$C$22*X81)</f>
        <v>100.88287447182229</v>
      </c>
      <c r="BE80" s="1">
        <f>(BE81*$C$22-CK80)/($C$21-$C$22*Y81)</f>
        <v>97.058126591487579</v>
      </c>
      <c r="BF80" s="1">
        <f>(BF81*$C$22-CL80)/($C$21-$C$22*Z81)</f>
        <v>93.343154874751946</v>
      </c>
      <c r="BG80" s="1">
        <f>(BG81*$C$22-CM80)/($C$21-$C$22*AA81)</f>
        <v>89.732579596505346</v>
      </c>
      <c r="BH80" s="1">
        <f>(BH81*$C$22-CN80)/($C$21-$C$22*AB81)</f>
        <v>86.219798283590592</v>
      </c>
      <c r="BI80" s="1">
        <f>(BI81*$C$22-CO80)/($C$21-$C$22*AC81)</f>
        <v>82.797063270180004</v>
      </c>
      <c r="BJ80" s="1">
        <f>(BJ81*$C$22-CP80)/($C$21-$C$22*AD81)</f>
        <v>79.455572616264149</v>
      </c>
      <c r="BK80" s="1">
        <f>(BK81*$C$22-CQ80)/($C$21-$C$22*AE81)</f>
        <v>76.185573319380367</v>
      </c>
      <c r="BL80" s="1">
        <f>(BL81*$C$22-CR80)/($C$21-$C$22*AF81)</f>
        <v>72.976475608722637</v>
      </c>
      <c r="BM80" s="1">
        <f>(BM81*$C$22-CS80)/($C$21-$C$22*AG81)</f>
        <v>69.816976984020158</v>
      </c>
      <c r="BN80" s="1">
        <f>(BN81*$C$22-CT80)/($C$21-$C$22*AH81)</f>
        <v>66.695194550390099</v>
      </c>
      <c r="BO80" s="1">
        <f>(BO81*$C$22-CU80)/($C$21-$C$22*AI81)</f>
        <v>63.598804105918099</v>
      </c>
      <c r="BP80" s="1">
        <f>(BP81*$C$22-CV80)/($C$21-$C$22*AJ81)</f>
        <v>60.515184361975692</v>
      </c>
      <c r="BQ80" s="2"/>
      <c r="BR80" s="2"/>
      <c r="BS80" s="1">
        <f t="shared" si="34"/>
        <v>-1076400000</v>
      </c>
      <c r="BT80" s="1">
        <f t="shared" si="59"/>
        <v>-1045191140.1663288</v>
      </c>
      <c r="BU80" s="1">
        <f t="shared" si="60"/>
        <v>-1014058104.8774383</v>
      </c>
      <c r="BV80" s="1">
        <f t="shared" si="61"/>
        <v>-983075827.84936166</v>
      </c>
      <c r="BW80" s="1">
        <f t="shared" si="62"/>
        <v>-952317471.67154706</v>
      </c>
      <c r="BX80" s="1">
        <f t="shared" si="63"/>
        <v>-921853568.44331264</v>
      </c>
      <c r="BY80" s="1">
        <f t="shared" si="64"/>
        <v>-891751191.49462223</v>
      </c>
      <c r="BZ80" s="1">
        <f t="shared" si="65"/>
        <v>-862073167.96535122</v>
      </c>
      <c r="CA80" s="1">
        <f t="shared" si="66"/>
        <v>-832877341.5237987</v>
      </c>
      <c r="CB80" s="1">
        <f t="shared" si="67"/>
        <v>-804215893.90069556</v>
      </c>
      <c r="CC80" s="1">
        <f t="shared" si="68"/>
        <v>-776134733.20721424</v>
      </c>
      <c r="CD80" s="1">
        <f t="shared" si="69"/>
        <v>-748672956.2036587</v>
      </c>
      <c r="CE80" s="1">
        <f t="shared" si="70"/>
        <v>-721862390.79989696</v>
      </c>
      <c r="CF80" s="1">
        <f t="shared" si="38"/>
        <v>-695727224.11041117</v>
      </c>
      <c r="CG80" s="1">
        <f t="shared" si="39"/>
        <v>-670283720.3681885</v>
      </c>
      <c r="CH80" s="1">
        <f t="shared" si="40"/>
        <v>-645540031.93517733</v>
      </c>
      <c r="CI80" s="1">
        <f t="shared" si="41"/>
        <v>-621496105.54584002</v>
      </c>
      <c r="CJ80" s="1">
        <f t="shared" si="42"/>
        <v>-598143684.79779136</v>
      </c>
      <c r="CK80" s="1">
        <f t="shared" si="43"/>
        <v>-575466408.77305901</v>
      </c>
      <c r="CL80" s="1">
        <f t="shared" si="44"/>
        <v>-553440005.54851091</v>
      </c>
      <c r="CM80" s="1">
        <f t="shared" si="45"/>
        <v>-532032578.24752295</v>
      </c>
      <c r="CN80" s="1">
        <f t="shared" si="46"/>
        <v>-511204980.20973575</v>
      </c>
      <c r="CO80" s="1">
        <f t="shared" si="47"/>
        <v>-490911274.82389599</v>
      </c>
      <c r="CP80" s="1">
        <f t="shared" si="48"/>
        <v>-471099274.59179646</v>
      </c>
      <c r="CQ80" s="1">
        <f t="shared" si="49"/>
        <v>-451711153.07994789</v>
      </c>
      <c r="CR80" s="1">
        <f t="shared" si="50"/>
        <v>-432684122.57969075</v>
      </c>
      <c r="CS80" s="1">
        <f t="shared" si="51"/>
        <v>-413951169.54492223</v>
      </c>
      <c r="CT80" s="1">
        <f t="shared" si="52"/>
        <v>-395441839.21740425</v>
      </c>
      <c r="CU80" s="1">
        <f t="shared" si="35"/>
        <v>-377083060.28960443</v>
      </c>
      <c r="CV80" s="1">
        <f t="shared" si="32"/>
        <v>-358800000</v>
      </c>
      <c r="CW80" s="2"/>
      <c r="CX80" s="2"/>
      <c r="CY80" s="1">
        <f t="shared" si="37"/>
        <v>300</v>
      </c>
      <c r="CZ80" s="1">
        <f t="shared" si="71"/>
        <v>291.30187853019203</v>
      </c>
      <c r="DA80" s="1">
        <f t="shared" si="72"/>
        <v>282.624889876655</v>
      </c>
      <c r="DB80" s="1">
        <f t="shared" si="73"/>
        <v>273.98991857563033</v>
      </c>
      <c r="DC80" s="1">
        <f t="shared" si="74"/>
        <v>265.4173555383353</v>
      </c>
      <c r="DD80" s="1">
        <f t="shared" si="75"/>
        <v>256.92685854049967</v>
      </c>
      <c r="DE80" s="1">
        <f t="shared" si="76"/>
        <v>248.53712137531275</v>
      </c>
      <c r="DF80" s="1">
        <f t="shared" si="77"/>
        <v>240.26565439391064</v>
      </c>
      <c r="DG80" s="1">
        <f t="shared" si="78"/>
        <v>232.12857902001079</v>
      </c>
      <c r="DH80" s="1">
        <f t="shared" si="79"/>
        <v>224.14043865682714</v>
      </c>
      <c r="DI80" s="1">
        <f t="shared" si="80"/>
        <v>216.31402820713885</v>
      </c>
      <c r="DJ80" s="1">
        <f t="shared" si="81"/>
        <v>208.6602442039183</v>
      </c>
      <c r="DK80" s="1">
        <f t="shared" si="82"/>
        <v>201.18795730208944</v>
      </c>
      <c r="DL80" s="1">
        <f t="shared" si="83"/>
        <v>193.9039086149418</v>
      </c>
      <c r="DM80" s="1">
        <f t="shared" si="84"/>
        <v>186.81263109481284</v>
      </c>
      <c r="DN80" s="1">
        <f t="shared" si="85"/>
        <v>179.91639686041731</v>
      </c>
      <c r="DO80" s="1">
        <f t="shared" si="86"/>
        <v>173.21519106628767</v>
      </c>
      <c r="DP80" s="1">
        <f t="shared" si="87"/>
        <v>166.70671259693185</v>
      </c>
      <c r="DQ80" s="1">
        <f t="shared" si="88"/>
        <v>160.38640155324944</v>
      </c>
      <c r="DR80" s="1">
        <f t="shared" si="89"/>
        <v>154.24749318520372</v>
      </c>
      <c r="DS80" s="1">
        <f t="shared" si="90"/>
        <v>148.28109761636648</v>
      </c>
      <c r="DT80" s="1">
        <f t="shared" si="91"/>
        <v>142.47630440628086</v>
      </c>
      <c r="DU80" s="1">
        <f t="shared" si="92"/>
        <v>136.82031070900109</v>
      </c>
      <c r="DV80" s="1">
        <f t="shared" si="93"/>
        <v>131.29857151387858</v>
      </c>
      <c r="DW80" s="1">
        <f t="shared" si="53"/>
        <v>125.89497020065438</v>
      </c>
      <c r="DX80" s="1">
        <f t="shared" si="54"/>
        <v>120.59200740794057</v>
      </c>
      <c r="DY80" s="1">
        <f t="shared" si="55"/>
        <v>115.37100600471635</v>
      </c>
      <c r="DZ80" s="1">
        <f t="shared" si="56"/>
        <v>110.21232977073696</v>
      </c>
      <c r="EA80" s="1">
        <f t="shared" si="57"/>
        <v>105.0956132356757</v>
      </c>
      <c r="EB80" s="1">
        <f t="shared" si="58"/>
        <v>99.999999999999986</v>
      </c>
    </row>
    <row r="81" spans="4:132">
      <c r="D81" s="2"/>
      <c r="E81" s="2"/>
      <c r="F81" s="1">
        <v>16</v>
      </c>
      <c r="G81" s="1">
        <f>$C$20/($C$21-$C$22*G82)</f>
        <v>0.39484815638079979</v>
      </c>
      <c r="H81" s="1">
        <f>$C$20/($C$21-$C$22*H82)</f>
        <v>0.39484815638079979</v>
      </c>
      <c r="I81" s="1">
        <f>$C$20/($C$21-$C$22*I82)</f>
        <v>0.39484815638079979</v>
      </c>
      <c r="J81" s="1">
        <f>$C$20/($C$21-$C$22*J82)</f>
        <v>0.39484815638079979</v>
      </c>
      <c r="K81" s="1">
        <f>$C$20/($C$21-$C$22*K82)</f>
        <v>0.39484815638079979</v>
      </c>
      <c r="L81" s="1">
        <f>$C$20/($C$21-$C$22*L82)</f>
        <v>0.39484815638079979</v>
      </c>
      <c r="M81" s="1">
        <f>$C$20/($C$21-$C$22*M82)</f>
        <v>0.39484815638079979</v>
      </c>
      <c r="N81" s="1">
        <f>$C$20/($C$21-$C$22*N82)</f>
        <v>0.39484815638079979</v>
      </c>
      <c r="O81" s="1">
        <f>$C$20/($C$21-$C$22*O82)</f>
        <v>0.39484815638079979</v>
      </c>
      <c r="P81" s="1">
        <f>$C$20/($C$21-$C$22*P82)</f>
        <v>0.39484815638079979</v>
      </c>
      <c r="Q81" s="1">
        <f>$C$20/($C$21-$C$22*Q82)</f>
        <v>0.39484815638079979</v>
      </c>
      <c r="R81" s="1">
        <f>$C$20/($C$21-$C$22*R82)</f>
        <v>0.39484815638079979</v>
      </c>
      <c r="S81" s="1">
        <f>$C$20/($C$21-$C$22*S82)</f>
        <v>0.39484815638079979</v>
      </c>
      <c r="T81" s="1">
        <f>$C$20/($C$21-$C$22*T82)</f>
        <v>0.39484815638079979</v>
      </c>
      <c r="U81" s="1">
        <f>$C$20/($C$21-$C$22*U82)</f>
        <v>0.39484815638079979</v>
      </c>
      <c r="V81" s="1">
        <f>$C$20/($C$21-$C$22*V82)</f>
        <v>0.39484815638079979</v>
      </c>
      <c r="W81" s="1">
        <f>$C$20/($C$21-$C$22*W82)</f>
        <v>0.39484815638079979</v>
      </c>
      <c r="X81" s="1">
        <f>$C$20/($C$21-$C$22*X82)</f>
        <v>0.39484815638079979</v>
      </c>
      <c r="Y81" s="1">
        <f>$C$20/($C$21-$C$22*Y82)</f>
        <v>0.39484815638079979</v>
      </c>
      <c r="Z81" s="1">
        <f>$C$20/($C$21-$C$22*Z82)</f>
        <v>0.39484815638079979</v>
      </c>
      <c r="AA81" s="1">
        <f>$C$20/($C$21-$C$22*AA82)</f>
        <v>0.39484815638079979</v>
      </c>
      <c r="AB81" s="1">
        <f>$C$20/($C$21-$C$22*AB82)</f>
        <v>0.39484815638079979</v>
      </c>
      <c r="AC81" s="1">
        <f>$C$20/($C$21-$C$22*AC82)</f>
        <v>0.39484815638079979</v>
      </c>
      <c r="AD81" s="1">
        <f>$C$20/($C$21-$C$22*AD82)</f>
        <v>0.39484815638079979</v>
      </c>
      <c r="AE81" s="1">
        <f>$C$20/($C$21-$C$22*AE82)</f>
        <v>0.39484815638079979</v>
      </c>
      <c r="AF81" s="1">
        <f>$C$20/($C$21-$C$22*AF82)</f>
        <v>0.39484815638079979</v>
      </c>
      <c r="AG81" s="1">
        <f>$C$20/($C$21-$C$22*AG82)</f>
        <v>0.39484815638079979</v>
      </c>
      <c r="AH81" s="1">
        <f>$C$20/($C$21-$C$22*AH82)</f>
        <v>0.39484815638079979</v>
      </c>
      <c r="AI81" s="1">
        <f>$C$20/($C$21-$C$22*AI82)</f>
        <v>0.39484815638079979</v>
      </c>
      <c r="AJ81" s="1">
        <f>$C$20/($C$21-$C$22*AJ82)</f>
        <v>0.39484815638079979</v>
      </c>
      <c r="AK81" s="2"/>
      <c r="AL81" s="2"/>
      <c r="AM81" s="1">
        <f>(AM82*$C$22-BS81)/($C$21-$C$22*G82)</f>
        <v>181.54555308576008</v>
      </c>
      <c r="AN81" s="1">
        <f>(AN82*$C$22-BT81)/($C$21-$C$22*H82)</f>
        <v>176.28186884228205</v>
      </c>
      <c r="AO81" s="1">
        <f>(AO82*$C$22-BU81)/($C$21-$C$22*I82)</f>
        <v>171.03097316153125</v>
      </c>
      <c r="AP81" s="1">
        <f>(AP82*$C$22-BV81)/($C$21-$C$22*J82)</f>
        <v>165.80550435911726</v>
      </c>
      <c r="AQ81" s="1">
        <f>(AQ82*$C$22-BW81)/($C$21-$C$22*K82)</f>
        <v>160.61780203255637</v>
      </c>
      <c r="AR81" s="1">
        <f>(AR82*$C$22-BX81)/($C$21-$C$22*L82)</f>
        <v>155.47976212107287</v>
      </c>
      <c r="AS81" s="1">
        <f>(AS82*$C$22-BY81)/($C$21-$C$22*M82)</f>
        <v>150.4026972080795</v>
      </c>
      <c r="AT81" s="1">
        <f>(AT82*$C$22-BZ81)/($C$21-$C$22*N82)</f>
        <v>145.39720371484867</v>
      </c>
      <c r="AU81" s="1">
        <f>(AU82*$C$22-CA81)/($C$21-$C$22*O82)</f>
        <v>140.4730375506648</v>
      </c>
      <c r="AV81" s="1">
        <f>(AV82*$C$22-CB81)/($C$21-$C$22*P82)</f>
        <v>135.63899968279523</v>
      </c>
      <c r="AW81" s="1">
        <f>(AW82*$C$22-CC81)/($C$21-$C$22*Q82)</f>
        <v>130.90283297024578</v>
      </c>
      <c r="AX81" s="1">
        <f>(AX82*$C$22-CD81)/($C$21-$C$22*R82)</f>
        <v>126.27113147003374</v>
      </c>
      <c r="AY81" s="1">
        <f>(AY82*$C$22-CE81)/($C$21-$C$22*S82)</f>
        <v>121.74926327534043</v>
      </c>
      <c r="AZ81" s="1">
        <f>(AZ82*$C$22-CF81)/($C$21-$C$22*T82)</f>
        <v>117.341307783301</v>
      </c>
      <c r="BA81" s="1">
        <f>(BA82*$C$22-CG81)/($C$21-$C$22*U82)</f>
        <v>113.05000811837958</v>
      </c>
      <c r="BB81" s="1">
        <f>(BB82*$C$22-CH81)/($C$21-$C$22*V82)</f>
        <v>108.87673925740526</v>
      </c>
      <c r="BC81" s="1">
        <f>(BC82*$C$22-CI81)/($C$21-$C$22*W82)</f>
        <v>104.82149221661604</v>
      </c>
      <c r="BD81" s="1">
        <f>(BD82*$C$22-CJ81)/($C$21-$C$22*X82)</f>
        <v>100.88287447172949</v>
      </c>
      <c r="BE81" s="1">
        <f>(BE82*$C$22-CK81)/($C$21-$C$22*Y82)</f>
        <v>97.058126591398306</v>
      </c>
      <c r="BF81" s="1">
        <f>(BF82*$C$22-CL81)/($C$21-$C$22*Z82)</f>
        <v>93.343154874666084</v>
      </c>
      <c r="BG81" s="1">
        <f>(BG82*$C$22-CM81)/($C$21-$C$22*AA82)</f>
        <v>89.732579596422809</v>
      </c>
      <c r="BH81" s="1">
        <f>(BH82*$C$22-CN81)/($C$21-$C$22*AB82)</f>
        <v>86.219798283511295</v>
      </c>
      <c r="BI81" s="1">
        <f>(BI82*$C$22-CO81)/($C$21-$C$22*AC82)</f>
        <v>82.797063270103848</v>
      </c>
      <c r="BJ81" s="1">
        <f>(BJ82*$C$22-CP81)/($C$21-$C$22*AD82)</f>
        <v>79.455572616191063</v>
      </c>
      <c r="BK81" s="1">
        <f>(BK82*$C$22-CQ81)/($C$21-$C$22*AE82)</f>
        <v>76.185573319310279</v>
      </c>
      <c r="BL81" s="1">
        <f>(BL82*$C$22-CR81)/($C$21-$C$22*AF82)</f>
        <v>72.976475608655505</v>
      </c>
      <c r="BM81" s="1">
        <f>(BM82*$C$22-CS81)/($C$21-$C$22*AG82)</f>
        <v>69.816976983955925</v>
      </c>
      <c r="BN81" s="1">
        <f>(BN82*$C$22-CT81)/($C$21-$C$22*AH82)</f>
        <v>66.69519455032875</v>
      </c>
      <c r="BO81" s="1">
        <f>(BO82*$C$22-CU81)/($C$21-$C$22*AI82)</f>
        <v>63.598804105859593</v>
      </c>
      <c r="BP81" s="1">
        <f>(BP82*$C$22-CV81)/($C$21-$C$22*AJ82)</f>
        <v>60.515184361920028</v>
      </c>
      <c r="BQ81" s="2"/>
      <c r="BR81" s="2"/>
      <c r="BS81" s="1">
        <f t="shared" si="34"/>
        <v>-1076400000</v>
      </c>
      <c r="BT81" s="1">
        <f t="shared" si="59"/>
        <v>-1045191140.1663291</v>
      </c>
      <c r="BU81" s="1">
        <f t="shared" si="60"/>
        <v>-1014058104.8774383</v>
      </c>
      <c r="BV81" s="1">
        <f t="shared" si="61"/>
        <v>-983075827.84936166</v>
      </c>
      <c r="BW81" s="1">
        <f t="shared" si="62"/>
        <v>-952317471.67154706</v>
      </c>
      <c r="BX81" s="1">
        <f t="shared" si="63"/>
        <v>-921853568.44331276</v>
      </c>
      <c r="BY81" s="1">
        <f t="shared" si="64"/>
        <v>-891751191.49462247</v>
      </c>
      <c r="BZ81" s="1">
        <f t="shared" si="65"/>
        <v>-862073167.96535158</v>
      </c>
      <c r="CA81" s="1">
        <f t="shared" si="66"/>
        <v>-832877341.52379906</v>
      </c>
      <c r="CB81" s="1">
        <f t="shared" si="67"/>
        <v>-804215893.9006958</v>
      </c>
      <c r="CC81" s="1">
        <f t="shared" si="68"/>
        <v>-776134733.20721424</v>
      </c>
      <c r="CD81" s="1">
        <f t="shared" si="69"/>
        <v>-748672956.20365894</v>
      </c>
      <c r="CE81" s="1">
        <f t="shared" si="70"/>
        <v>-721862390.79989707</v>
      </c>
      <c r="CF81" s="1">
        <f t="shared" si="38"/>
        <v>-695727224.11041129</v>
      </c>
      <c r="CG81" s="1">
        <f t="shared" si="39"/>
        <v>-670283720.36818874</v>
      </c>
      <c r="CH81" s="1">
        <f t="shared" si="40"/>
        <v>-645540031.93517745</v>
      </c>
      <c r="CI81" s="1">
        <f t="shared" si="41"/>
        <v>-621496105.54584014</v>
      </c>
      <c r="CJ81" s="1">
        <f t="shared" si="42"/>
        <v>-598143684.79779148</v>
      </c>
      <c r="CK81" s="1">
        <f t="shared" si="43"/>
        <v>-575466408.77305913</v>
      </c>
      <c r="CL81" s="1">
        <f t="shared" si="44"/>
        <v>-553440005.54851103</v>
      </c>
      <c r="CM81" s="1">
        <f t="shared" si="45"/>
        <v>-532032578.24752313</v>
      </c>
      <c r="CN81" s="1">
        <f t="shared" si="46"/>
        <v>-511204980.20973593</v>
      </c>
      <c r="CO81" s="1">
        <f t="shared" si="47"/>
        <v>-490911274.82389611</v>
      </c>
      <c r="CP81" s="1">
        <f t="shared" si="48"/>
        <v>-471099274.59179646</v>
      </c>
      <c r="CQ81" s="1">
        <f t="shared" si="49"/>
        <v>-451711153.07994789</v>
      </c>
      <c r="CR81" s="1">
        <f t="shared" si="50"/>
        <v>-432684122.57969075</v>
      </c>
      <c r="CS81" s="1">
        <f t="shared" si="51"/>
        <v>-413951169.54492223</v>
      </c>
      <c r="CT81" s="1">
        <f t="shared" si="52"/>
        <v>-395441839.21740425</v>
      </c>
      <c r="CU81" s="1">
        <f t="shared" si="35"/>
        <v>-377083060.28960443</v>
      </c>
      <c r="CV81" s="1">
        <f t="shared" si="32"/>
        <v>-358800000</v>
      </c>
      <c r="CW81" s="2"/>
      <c r="CX81" s="2"/>
      <c r="CY81" s="1">
        <f t="shared" si="37"/>
        <v>300</v>
      </c>
      <c r="CZ81" s="1">
        <f t="shared" si="71"/>
        <v>291.30187853019208</v>
      </c>
      <c r="DA81" s="1">
        <f t="shared" si="72"/>
        <v>282.62488987665506</v>
      </c>
      <c r="DB81" s="1">
        <f t="shared" si="73"/>
        <v>273.98991857563033</v>
      </c>
      <c r="DC81" s="1">
        <f t="shared" si="74"/>
        <v>265.4173555383353</v>
      </c>
      <c r="DD81" s="1">
        <f t="shared" si="75"/>
        <v>256.92685854049972</v>
      </c>
      <c r="DE81" s="1">
        <f t="shared" si="76"/>
        <v>248.53712137531281</v>
      </c>
      <c r="DF81" s="1">
        <f t="shared" si="77"/>
        <v>240.26565439391069</v>
      </c>
      <c r="DG81" s="1">
        <f t="shared" si="78"/>
        <v>232.12857902001087</v>
      </c>
      <c r="DH81" s="1">
        <f t="shared" si="79"/>
        <v>224.14043865682717</v>
      </c>
      <c r="DI81" s="1">
        <f t="shared" si="80"/>
        <v>216.31402820713888</v>
      </c>
      <c r="DJ81" s="1">
        <f t="shared" si="81"/>
        <v>208.66024420391835</v>
      </c>
      <c r="DK81" s="1">
        <f t="shared" si="82"/>
        <v>201.1879573020895</v>
      </c>
      <c r="DL81" s="1">
        <f t="shared" si="83"/>
        <v>193.90390861494186</v>
      </c>
      <c r="DM81" s="1">
        <f t="shared" si="84"/>
        <v>186.8126310948129</v>
      </c>
      <c r="DN81" s="1">
        <f t="shared" si="85"/>
        <v>179.91639686041736</v>
      </c>
      <c r="DO81" s="1">
        <f t="shared" si="86"/>
        <v>173.2151910662877</v>
      </c>
      <c r="DP81" s="1">
        <f t="shared" si="87"/>
        <v>166.70671259693188</v>
      </c>
      <c r="DQ81" s="1">
        <f t="shared" si="88"/>
        <v>160.3864015532495</v>
      </c>
      <c r="DR81" s="1">
        <f t="shared" si="89"/>
        <v>154.24749318520375</v>
      </c>
      <c r="DS81" s="1">
        <f t="shared" si="90"/>
        <v>148.28109761636654</v>
      </c>
      <c r="DT81" s="1">
        <f t="shared" si="91"/>
        <v>142.47630440628092</v>
      </c>
      <c r="DU81" s="1">
        <f t="shared" si="92"/>
        <v>136.82031070900112</v>
      </c>
      <c r="DV81" s="1">
        <f t="shared" si="93"/>
        <v>131.29857151387861</v>
      </c>
      <c r="DW81" s="1">
        <f t="shared" si="53"/>
        <v>125.8949702006544</v>
      </c>
      <c r="DX81" s="1">
        <f t="shared" si="54"/>
        <v>120.5920074079406</v>
      </c>
      <c r="DY81" s="1">
        <f t="shared" si="55"/>
        <v>115.37100600471635</v>
      </c>
      <c r="DZ81" s="1">
        <f t="shared" si="56"/>
        <v>110.21232977073697</v>
      </c>
      <c r="EA81" s="1">
        <f t="shared" si="57"/>
        <v>105.09561323567573</v>
      </c>
      <c r="EB81" s="1">
        <f t="shared" si="58"/>
        <v>100</v>
      </c>
    </row>
    <row r="82" spans="4:132">
      <c r="D82" s="2"/>
      <c r="E82" s="2"/>
      <c r="F82" s="1">
        <v>15</v>
      </c>
      <c r="G82" s="1">
        <f>$C$20/($C$21-$C$22*G83)</f>
        <v>0.3948481563843711</v>
      </c>
      <c r="H82" s="1">
        <f>$C$20/($C$21-$C$22*H83)</f>
        <v>0.3948481563843711</v>
      </c>
      <c r="I82" s="1">
        <f>$C$20/($C$21-$C$22*I83)</f>
        <v>0.3948481563843711</v>
      </c>
      <c r="J82" s="1">
        <f>$C$20/($C$21-$C$22*J83)</f>
        <v>0.3948481563843711</v>
      </c>
      <c r="K82" s="1">
        <f>$C$20/($C$21-$C$22*K83)</f>
        <v>0.3948481563843711</v>
      </c>
      <c r="L82" s="1">
        <f>$C$20/($C$21-$C$22*L83)</f>
        <v>0.3948481563843711</v>
      </c>
      <c r="M82" s="1">
        <f>$C$20/($C$21-$C$22*M83)</f>
        <v>0.3948481563843711</v>
      </c>
      <c r="N82" s="1">
        <f>$C$20/($C$21-$C$22*N83)</f>
        <v>0.3948481563843711</v>
      </c>
      <c r="O82" s="1">
        <f>$C$20/($C$21-$C$22*O83)</f>
        <v>0.3948481563843711</v>
      </c>
      <c r="P82" s="1">
        <f>$C$20/($C$21-$C$22*P83)</f>
        <v>0.3948481563843711</v>
      </c>
      <c r="Q82" s="1">
        <f>$C$20/($C$21-$C$22*Q83)</f>
        <v>0.3948481563843711</v>
      </c>
      <c r="R82" s="1">
        <f>$C$20/($C$21-$C$22*R83)</f>
        <v>0.3948481563843711</v>
      </c>
      <c r="S82" s="1">
        <f>$C$20/($C$21-$C$22*S83)</f>
        <v>0.3948481563843711</v>
      </c>
      <c r="T82" s="1">
        <f>$C$20/($C$21-$C$22*T83)</f>
        <v>0.3948481563843711</v>
      </c>
      <c r="U82" s="1">
        <f>$C$20/($C$21-$C$22*U83)</f>
        <v>0.3948481563843711</v>
      </c>
      <c r="V82" s="1">
        <f>$C$20/($C$21-$C$22*V83)</f>
        <v>0.3948481563843711</v>
      </c>
      <c r="W82" s="1">
        <f>$C$20/($C$21-$C$22*W83)</f>
        <v>0.3948481563843711</v>
      </c>
      <c r="X82" s="1">
        <f>$C$20/($C$21-$C$22*X83)</f>
        <v>0.3948481563843711</v>
      </c>
      <c r="Y82" s="1">
        <f>$C$20/($C$21-$C$22*Y83)</f>
        <v>0.3948481563843711</v>
      </c>
      <c r="Z82" s="1">
        <f>$C$20/($C$21-$C$22*Z83)</f>
        <v>0.3948481563843711</v>
      </c>
      <c r="AA82" s="1">
        <f>$C$20/($C$21-$C$22*AA83)</f>
        <v>0.3948481563843711</v>
      </c>
      <c r="AB82" s="1">
        <f>$C$20/($C$21-$C$22*AB83)</f>
        <v>0.3948481563843711</v>
      </c>
      <c r="AC82" s="1">
        <f>$C$20/($C$21-$C$22*AC83)</f>
        <v>0.3948481563843711</v>
      </c>
      <c r="AD82" s="1">
        <f>$C$20/($C$21-$C$22*AD83)</f>
        <v>0.3948481563843711</v>
      </c>
      <c r="AE82" s="1">
        <f>$C$20/($C$21-$C$22*AE83)</f>
        <v>0.3948481563843711</v>
      </c>
      <c r="AF82" s="1">
        <f>$C$20/($C$21-$C$22*AF83)</f>
        <v>0.3948481563843711</v>
      </c>
      <c r="AG82" s="1">
        <f>$C$20/($C$21-$C$22*AG83)</f>
        <v>0.3948481563843711</v>
      </c>
      <c r="AH82" s="1">
        <f>$C$20/($C$21-$C$22*AH83)</f>
        <v>0.3948481563843711</v>
      </c>
      <c r="AI82" s="1">
        <f>$C$20/($C$21-$C$22*AI83)</f>
        <v>0.3948481563843711</v>
      </c>
      <c r="AJ82" s="1">
        <f>$C$20/($C$21-$C$22*AJ83)</f>
        <v>0.3948481563843711</v>
      </c>
      <c r="AK82" s="2"/>
      <c r="AL82" s="2"/>
      <c r="AM82" s="1">
        <f>(AM83*$C$22-BS82)/($C$21-$C$22*G83)</f>
        <v>181.54555308468869</v>
      </c>
      <c r="AN82" s="1">
        <f>(AN83*$C$22-BT82)/($C$21-$C$22*H83)</f>
        <v>176.28186884124173</v>
      </c>
      <c r="AO82" s="1">
        <f>(AO83*$C$22-BU82)/($C$21-$C$22*I83)</f>
        <v>171.03097316052191</v>
      </c>
      <c r="AP82" s="1">
        <f>(AP83*$C$22-BV82)/($C$21-$C$22*J83)</f>
        <v>165.80550435813876</v>
      </c>
      <c r="AQ82" s="1">
        <f>(AQ83*$C$22-BW82)/($C$21-$C$22*K83)</f>
        <v>160.61780203160848</v>
      </c>
      <c r="AR82" s="1">
        <f>(AR83*$C$22-BX82)/($C$21-$C$22*L83)</f>
        <v>155.47976212015527</v>
      </c>
      <c r="AS82" s="1">
        <f>(AS83*$C$22-BY82)/($C$21-$C$22*M83)</f>
        <v>150.40269720719189</v>
      </c>
      <c r="AT82" s="1">
        <f>(AT83*$C$22-BZ82)/($C$21-$C$22*N83)</f>
        <v>145.39720371399059</v>
      </c>
      <c r="AU82" s="1">
        <f>(AU83*$C$22-CA82)/($C$21-$C$22*O83)</f>
        <v>140.47303754983579</v>
      </c>
      <c r="AV82" s="1">
        <f>(AV83*$C$22-CB82)/($C$21-$C$22*P83)</f>
        <v>135.63899968199476</v>
      </c>
      <c r="AW82" s="1">
        <f>(AW83*$C$22-CC82)/($C$21-$C$22*Q83)</f>
        <v>130.90283296947328</v>
      </c>
      <c r="AX82" s="1">
        <f>(AX83*$C$22-CD82)/($C$21-$C$22*R83)</f>
        <v>126.27113146928856</v>
      </c>
      <c r="AY82" s="1">
        <f>(AY83*$C$22-CE82)/($C$21-$C$22*S83)</f>
        <v>121.74926327462192</v>
      </c>
      <c r="AZ82" s="1">
        <f>(AZ83*$C$22-CF82)/($C$21-$C$22*T83)</f>
        <v>117.34130778260852</v>
      </c>
      <c r="BA82" s="1">
        <f>(BA83*$C$22-CG82)/($C$21-$C$22*U83)</f>
        <v>113.05000811771241</v>
      </c>
      <c r="BB82" s="1">
        <f>(BB83*$C$22-CH82)/($C$21-$C$22*V83)</f>
        <v>108.87673925676272</v>
      </c>
      <c r="BC82" s="1">
        <f>(BC83*$C$22-CI82)/($C$21-$C$22*W83)</f>
        <v>104.82149221599745</v>
      </c>
      <c r="BD82" s="1">
        <f>(BD83*$C$22-CJ82)/($C$21-$C$22*X83)</f>
        <v>100.88287447113414</v>
      </c>
      <c r="BE82" s="1">
        <f>(BE83*$C$22-CK82)/($C$21-$C$22*Y83)</f>
        <v>97.058126590825509</v>
      </c>
      <c r="BF82" s="1">
        <f>(BF83*$C$22-CL82)/($C$21-$C$22*Z83)</f>
        <v>93.343154874115228</v>
      </c>
      <c r="BG82" s="1">
        <f>(BG83*$C$22-CM82)/($C$21-$C$22*AA83)</f>
        <v>89.73257959589327</v>
      </c>
      <c r="BH82" s="1">
        <f>(BH83*$C$22-CN82)/($C$21-$C$22*AB83)</f>
        <v>86.219798283002461</v>
      </c>
      <c r="BI82" s="1">
        <f>(BI83*$C$22-CO82)/($C$21-$C$22*AC83)</f>
        <v>82.797063269615222</v>
      </c>
      <c r="BJ82" s="1">
        <f>(BJ83*$C$22-CP82)/($C$21-$C$22*AD83)</f>
        <v>79.455572615722147</v>
      </c>
      <c r="BK82" s="1">
        <f>(BK83*$C$22-CQ82)/($C$21-$C$22*AE83)</f>
        <v>76.185573318860662</v>
      </c>
      <c r="BL82" s="1">
        <f>(BL83*$C$22-CR82)/($C$21-$C$22*AF83)</f>
        <v>72.976475608224831</v>
      </c>
      <c r="BM82" s="1">
        <f>(BM83*$C$22-CS82)/($C$21-$C$22*AG83)</f>
        <v>69.816976983543896</v>
      </c>
      <c r="BN82" s="1">
        <f>(BN83*$C$22-CT82)/($C$21-$C$22*AH83)</f>
        <v>66.695194549935152</v>
      </c>
      <c r="BO82" s="1">
        <f>(BO83*$C$22-CU82)/($C$21-$C$22*AI83)</f>
        <v>63.598804105484255</v>
      </c>
      <c r="BP82" s="1">
        <f>(BP83*$C$22-CV82)/($C$21-$C$22*AJ83)</f>
        <v>60.515184361562895</v>
      </c>
      <c r="BQ82" s="2"/>
      <c r="BR82" s="2"/>
      <c r="BS82" s="1">
        <f t="shared" si="34"/>
        <v>-1076400000</v>
      </c>
      <c r="BT82" s="1">
        <f t="shared" si="59"/>
        <v>-1045191140.1663291</v>
      </c>
      <c r="BU82" s="1">
        <f t="shared" si="60"/>
        <v>-1014058104.8774383</v>
      </c>
      <c r="BV82" s="1">
        <f t="shared" si="61"/>
        <v>-983075827.84936166</v>
      </c>
      <c r="BW82" s="1">
        <f t="shared" si="62"/>
        <v>-952317471.67154706</v>
      </c>
      <c r="BX82" s="1">
        <f t="shared" si="63"/>
        <v>-921853568.44331276</v>
      </c>
      <c r="BY82" s="1">
        <f t="shared" si="64"/>
        <v>-891751191.49462247</v>
      </c>
      <c r="BZ82" s="1">
        <f t="shared" si="65"/>
        <v>-862073167.96535158</v>
      </c>
      <c r="CA82" s="1">
        <f t="shared" si="66"/>
        <v>-832877341.52379906</v>
      </c>
      <c r="CB82" s="1">
        <f t="shared" si="67"/>
        <v>-804215893.90069592</v>
      </c>
      <c r="CC82" s="1">
        <f t="shared" si="68"/>
        <v>-776134733.20721436</v>
      </c>
      <c r="CD82" s="1">
        <f t="shared" si="69"/>
        <v>-748672956.20365906</v>
      </c>
      <c r="CE82" s="1">
        <f t="shared" si="70"/>
        <v>-721862390.79989719</v>
      </c>
      <c r="CF82" s="1">
        <f t="shared" si="38"/>
        <v>-695727224.11041152</v>
      </c>
      <c r="CG82" s="1">
        <f t="shared" si="39"/>
        <v>-670283720.36818874</v>
      </c>
      <c r="CH82" s="1">
        <f t="shared" si="40"/>
        <v>-645540031.93517745</v>
      </c>
      <c r="CI82" s="1">
        <f t="shared" si="41"/>
        <v>-621496105.54584038</v>
      </c>
      <c r="CJ82" s="1">
        <f t="shared" si="42"/>
        <v>-598143684.7977916</v>
      </c>
      <c r="CK82" s="1">
        <f t="shared" si="43"/>
        <v>-575466408.77305925</v>
      </c>
      <c r="CL82" s="1">
        <f t="shared" si="44"/>
        <v>-553440005.54851115</v>
      </c>
      <c r="CM82" s="1">
        <f t="shared" si="45"/>
        <v>-532032578.24752313</v>
      </c>
      <c r="CN82" s="1">
        <f t="shared" si="46"/>
        <v>-511204980.20973593</v>
      </c>
      <c r="CO82" s="1">
        <f t="shared" si="47"/>
        <v>-490911274.82389611</v>
      </c>
      <c r="CP82" s="1">
        <f t="shared" si="48"/>
        <v>-471099274.59179646</v>
      </c>
      <c r="CQ82" s="1">
        <f t="shared" si="49"/>
        <v>-451711153.07994789</v>
      </c>
      <c r="CR82" s="1">
        <f t="shared" si="50"/>
        <v>-432684122.57969075</v>
      </c>
      <c r="CS82" s="1">
        <f t="shared" si="51"/>
        <v>-413951169.54492223</v>
      </c>
      <c r="CT82" s="1">
        <f t="shared" si="52"/>
        <v>-395441839.21740425</v>
      </c>
      <c r="CU82" s="1">
        <f t="shared" si="35"/>
        <v>-377083060.28960443</v>
      </c>
      <c r="CV82" s="1">
        <f t="shared" si="32"/>
        <v>-358800000</v>
      </c>
      <c r="CW82" s="2"/>
      <c r="CX82" s="2"/>
      <c r="CY82" s="1">
        <f t="shared" si="37"/>
        <v>300</v>
      </c>
      <c r="CZ82" s="1">
        <f t="shared" si="71"/>
        <v>291.30187853019208</v>
      </c>
      <c r="DA82" s="1">
        <f t="shared" si="72"/>
        <v>282.62488987665506</v>
      </c>
      <c r="DB82" s="1">
        <f t="shared" si="73"/>
        <v>273.98991857563033</v>
      </c>
      <c r="DC82" s="1">
        <f t="shared" si="74"/>
        <v>265.4173555383353</v>
      </c>
      <c r="DD82" s="1">
        <f t="shared" si="75"/>
        <v>256.92685854049967</v>
      </c>
      <c r="DE82" s="1">
        <f t="shared" si="76"/>
        <v>248.53712137531284</v>
      </c>
      <c r="DF82" s="1">
        <f t="shared" si="77"/>
        <v>240.26565439391069</v>
      </c>
      <c r="DG82" s="1">
        <f t="shared" si="78"/>
        <v>232.12857902001087</v>
      </c>
      <c r="DH82" s="1">
        <f t="shared" si="79"/>
        <v>224.1404386568272</v>
      </c>
      <c r="DI82" s="1">
        <f t="shared" si="80"/>
        <v>216.3140282071389</v>
      </c>
      <c r="DJ82" s="1">
        <f t="shared" si="81"/>
        <v>208.66024420391838</v>
      </c>
      <c r="DK82" s="1">
        <f t="shared" si="82"/>
        <v>201.18795730208953</v>
      </c>
      <c r="DL82" s="1">
        <f t="shared" si="83"/>
        <v>193.90390861494188</v>
      </c>
      <c r="DM82" s="1">
        <f t="shared" si="84"/>
        <v>186.8126310948129</v>
      </c>
      <c r="DN82" s="1">
        <f t="shared" si="85"/>
        <v>179.91639686041736</v>
      </c>
      <c r="DO82" s="1">
        <f t="shared" si="86"/>
        <v>173.21519106628773</v>
      </c>
      <c r="DP82" s="1">
        <f t="shared" si="87"/>
        <v>166.70671259693191</v>
      </c>
      <c r="DQ82" s="1">
        <f t="shared" si="88"/>
        <v>160.3864015532495</v>
      </c>
      <c r="DR82" s="1">
        <f t="shared" si="89"/>
        <v>154.24749318520378</v>
      </c>
      <c r="DS82" s="1">
        <f t="shared" si="90"/>
        <v>148.28109761636657</v>
      </c>
      <c r="DT82" s="1">
        <f t="shared" si="91"/>
        <v>142.47630440628092</v>
      </c>
      <c r="DU82" s="1">
        <f t="shared" si="92"/>
        <v>136.82031070900115</v>
      </c>
      <c r="DV82" s="1">
        <f t="shared" si="93"/>
        <v>131.29857151387861</v>
      </c>
      <c r="DW82" s="1">
        <f t="shared" si="53"/>
        <v>125.8949702006544</v>
      </c>
      <c r="DX82" s="1">
        <f t="shared" si="54"/>
        <v>120.5920074079406</v>
      </c>
      <c r="DY82" s="1">
        <f t="shared" si="55"/>
        <v>115.37100600471635</v>
      </c>
      <c r="DZ82" s="1">
        <f t="shared" si="56"/>
        <v>110.21232977073699</v>
      </c>
      <c r="EA82" s="1">
        <f t="shared" si="57"/>
        <v>105.09561323567573</v>
      </c>
      <c r="EB82" s="1">
        <f t="shared" si="58"/>
        <v>100</v>
      </c>
    </row>
    <row r="83" spans="4:132">
      <c r="D83" s="2"/>
      <c r="E83" s="2"/>
      <c r="F83" s="1">
        <v>14</v>
      </c>
      <c r="G83" s="1">
        <f>$C$20/($C$21-$C$22*G84)</f>
        <v>0.39484815640727794</v>
      </c>
      <c r="H83" s="1">
        <f>$C$20/($C$21-$C$22*H84)</f>
        <v>0.39484815640727794</v>
      </c>
      <c r="I83" s="1">
        <f>$C$20/($C$21-$C$22*I84)</f>
        <v>0.39484815640727794</v>
      </c>
      <c r="J83" s="1">
        <f>$C$20/($C$21-$C$22*J84)</f>
        <v>0.39484815640727794</v>
      </c>
      <c r="K83" s="1">
        <f>$C$20/($C$21-$C$22*K84)</f>
        <v>0.39484815640727794</v>
      </c>
      <c r="L83" s="1">
        <f>$C$20/($C$21-$C$22*L84)</f>
        <v>0.39484815640727794</v>
      </c>
      <c r="M83" s="1">
        <f>$C$20/($C$21-$C$22*M84)</f>
        <v>0.39484815640727794</v>
      </c>
      <c r="N83" s="1">
        <f>$C$20/($C$21-$C$22*N84)</f>
        <v>0.39484815640727794</v>
      </c>
      <c r="O83" s="1">
        <f>$C$20/($C$21-$C$22*O84)</f>
        <v>0.39484815640727794</v>
      </c>
      <c r="P83" s="1">
        <f>$C$20/($C$21-$C$22*P84)</f>
        <v>0.39484815640727794</v>
      </c>
      <c r="Q83" s="1">
        <f>$C$20/($C$21-$C$22*Q84)</f>
        <v>0.39484815640727794</v>
      </c>
      <c r="R83" s="1">
        <f>$C$20/($C$21-$C$22*R84)</f>
        <v>0.39484815640727794</v>
      </c>
      <c r="S83" s="1">
        <f>$C$20/($C$21-$C$22*S84)</f>
        <v>0.39484815640727794</v>
      </c>
      <c r="T83" s="1">
        <f>$C$20/($C$21-$C$22*T84)</f>
        <v>0.39484815640727794</v>
      </c>
      <c r="U83" s="1">
        <f>$C$20/($C$21-$C$22*U84)</f>
        <v>0.39484815640727794</v>
      </c>
      <c r="V83" s="1">
        <f>$C$20/($C$21-$C$22*V84)</f>
        <v>0.39484815640727794</v>
      </c>
      <c r="W83" s="1">
        <f>$C$20/($C$21-$C$22*W84)</f>
        <v>0.39484815640727794</v>
      </c>
      <c r="X83" s="1">
        <f>$C$20/($C$21-$C$22*X84)</f>
        <v>0.39484815640727794</v>
      </c>
      <c r="Y83" s="1">
        <f>$C$20/($C$21-$C$22*Y84)</f>
        <v>0.39484815640727794</v>
      </c>
      <c r="Z83" s="1">
        <f>$C$20/($C$21-$C$22*Z84)</f>
        <v>0.39484815640727794</v>
      </c>
      <c r="AA83" s="1">
        <f>$C$20/($C$21-$C$22*AA84)</f>
        <v>0.39484815640727794</v>
      </c>
      <c r="AB83" s="1">
        <f>$C$20/($C$21-$C$22*AB84)</f>
        <v>0.39484815640727794</v>
      </c>
      <c r="AC83" s="1">
        <f>$C$20/($C$21-$C$22*AC84)</f>
        <v>0.39484815640727794</v>
      </c>
      <c r="AD83" s="1">
        <f>$C$20/($C$21-$C$22*AD84)</f>
        <v>0.39484815640727794</v>
      </c>
      <c r="AE83" s="1">
        <f>$C$20/($C$21-$C$22*AE84)</f>
        <v>0.39484815640727794</v>
      </c>
      <c r="AF83" s="1">
        <f>$C$20/($C$21-$C$22*AF84)</f>
        <v>0.39484815640727794</v>
      </c>
      <c r="AG83" s="1">
        <f>$C$20/($C$21-$C$22*AG84)</f>
        <v>0.39484815640727794</v>
      </c>
      <c r="AH83" s="1">
        <f>$C$20/($C$21-$C$22*AH84)</f>
        <v>0.39484815640727794</v>
      </c>
      <c r="AI83" s="1">
        <f>$C$20/($C$21-$C$22*AI84)</f>
        <v>0.39484815640727794</v>
      </c>
      <c r="AJ83" s="1">
        <f>$C$20/($C$21-$C$22*AJ84)</f>
        <v>0.39484815640727794</v>
      </c>
      <c r="AK83" s="2"/>
      <c r="AL83" s="2"/>
      <c r="AM83" s="1">
        <f>(AM84*$C$22-BS83)/($C$21-$C$22*G84)</f>
        <v>181.54555307781661</v>
      </c>
      <c r="AN83" s="1">
        <f>(AN84*$C$22-BT83)/($C$21-$C$22*H84)</f>
        <v>176.28186883456885</v>
      </c>
      <c r="AO83" s="1">
        <f>(AO84*$C$22-BU83)/($C$21-$C$22*I84)</f>
        <v>171.03097315404787</v>
      </c>
      <c r="AP83" s="1">
        <f>(AP84*$C$22-BV83)/($C$21-$C$22*J84)</f>
        <v>165.80550435186251</v>
      </c>
      <c r="AQ83" s="1">
        <f>(AQ84*$C$22-BW83)/($C$21-$C$22*K84)</f>
        <v>160.61780202552859</v>
      </c>
      <c r="AR83" s="1">
        <f>(AR84*$C$22-BX83)/($C$21-$C$22*L84)</f>
        <v>155.47976211426987</v>
      </c>
      <c r="AS83" s="1">
        <f>(AS84*$C$22-BY83)/($C$21-$C$22*M84)</f>
        <v>150.40269720149868</v>
      </c>
      <c r="AT83" s="1">
        <f>(AT84*$C$22-BZ83)/($C$21-$C$22*N84)</f>
        <v>145.39720370848684</v>
      </c>
      <c r="AU83" s="1">
        <f>(AU84*$C$22-CA83)/($C$21-$C$22*O84)</f>
        <v>140.47303754451846</v>
      </c>
      <c r="AV83" s="1">
        <f>(AV84*$C$22-CB83)/($C$21-$C$22*P84)</f>
        <v>135.63899967686041</v>
      </c>
      <c r="AW83" s="1">
        <f>(AW84*$C$22-CC83)/($C$21-$C$22*Q84)</f>
        <v>130.90283296451818</v>
      </c>
      <c r="AX83" s="1">
        <f>(AX84*$C$22-CD83)/($C$21-$C$22*R84)</f>
        <v>126.27113146450881</v>
      </c>
      <c r="AY83" s="1">
        <f>(AY84*$C$22-CE83)/($C$21-$C$22*S84)</f>
        <v>121.74926327001334</v>
      </c>
      <c r="AZ83" s="1">
        <f>(AZ84*$C$22-CF83)/($C$21-$C$22*T84)</f>
        <v>117.34130777816681</v>
      </c>
      <c r="BA83" s="1">
        <f>(BA84*$C$22-CG83)/($C$21-$C$22*U84)</f>
        <v>113.05000811343314</v>
      </c>
      <c r="BB83" s="1">
        <f>(BB84*$C$22-CH83)/($C$21-$C$22*V84)</f>
        <v>108.8767392526414</v>
      </c>
      <c r="BC83" s="1">
        <f>(BC84*$C$22-CI83)/($C$21-$C$22*W84)</f>
        <v>104.82149221202963</v>
      </c>
      <c r="BD83" s="1">
        <f>(BD84*$C$22-CJ83)/($C$21-$C$22*X84)</f>
        <v>100.88287446731542</v>
      </c>
      <c r="BE83" s="1">
        <f>(BE84*$C$22-CK83)/($C$21-$C$22*Y84)</f>
        <v>97.058126587151548</v>
      </c>
      <c r="BF83" s="1">
        <f>(BF84*$C$22-CL83)/($C$21-$C$22*Z84)</f>
        <v>93.343154870581884</v>
      </c>
      <c r="BG83" s="1">
        <f>(BG84*$C$22-CM83)/($C$21-$C$22*AA84)</f>
        <v>89.732579592496606</v>
      </c>
      <c r="BH83" s="1">
        <f>(BH84*$C$22-CN83)/($C$21-$C$22*AB84)</f>
        <v>86.219798279738768</v>
      </c>
      <c r="BI83" s="1">
        <f>(BI84*$C$22-CO83)/($C$21-$C$22*AC84)</f>
        <v>82.797063266481089</v>
      </c>
      <c r="BJ83" s="1">
        <f>(BJ84*$C$22-CP83)/($C$21-$C$22*AD84)</f>
        <v>79.455572612714505</v>
      </c>
      <c r="BK83" s="1">
        <f>(BK84*$C$22-CQ83)/($C$21-$C$22*AE84)</f>
        <v>76.185573315976811</v>
      </c>
      <c r="BL83" s="1">
        <f>(BL84*$C$22-CR83)/($C$21-$C$22*AF84)</f>
        <v>72.97647560546244</v>
      </c>
      <c r="BM83" s="1">
        <f>(BM84*$C$22-CS83)/($C$21-$C$22*AG84)</f>
        <v>69.816976980901117</v>
      </c>
      <c r="BN83" s="1">
        <f>(BN84*$C$22-CT83)/($C$21-$C$22*AH84)</f>
        <v>66.695194547410537</v>
      </c>
      <c r="BO83" s="1">
        <f>(BO84*$C$22-CU83)/($C$21-$C$22*AI84)</f>
        <v>63.598804103076844</v>
      </c>
      <c r="BP83" s="1">
        <f>(BP84*$C$22-CV83)/($C$21-$C$22*AJ84)</f>
        <v>60.515184359272212</v>
      </c>
      <c r="BQ83" s="2"/>
      <c r="BR83" s="2"/>
      <c r="BS83" s="1">
        <f t="shared" si="34"/>
        <v>-1076400000</v>
      </c>
      <c r="BT83" s="1">
        <f t="shared" si="59"/>
        <v>-1045191140.1663288</v>
      </c>
      <c r="BU83" s="1">
        <f t="shared" si="60"/>
        <v>-1014058104.8774383</v>
      </c>
      <c r="BV83" s="1">
        <f t="shared" si="61"/>
        <v>-983075827.84936166</v>
      </c>
      <c r="BW83" s="1">
        <f t="shared" si="62"/>
        <v>-952317471.67154706</v>
      </c>
      <c r="BX83" s="1">
        <f t="shared" si="63"/>
        <v>-921853568.44331276</v>
      </c>
      <c r="BY83" s="1">
        <f t="shared" si="64"/>
        <v>-891751191.49462247</v>
      </c>
      <c r="BZ83" s="1">
        <f t="shared" si="65"/>
        <v>-862073167.96535158</v>
      </c>
      <c r="CA83" s="1">
        <f t="shared" si="66"/>
        <v>-832877341.52379906</v>
      </c>
      <c r="CB83" s="1">
        <f t="shared" si="67"/>
        <v>-804215893.9006958</v>
      </c>
      <c r="CC83" s="1">
        <f t="shared" si="68"/>
        <v>-776134733.20721424</v>
      </c>
      <c r="CD83" s="1">
        <f t="shared" si="69"/>
        <v>-748672956.20365906</v>
      </c>
      <c r="CE83" s="1">
        <f t="shared" si="70"/>
        <v>-721862390.79989719</v>
      </c>
      <c r="CF83" s="1">
        <f t="shared" si="38"/>
        <v>-695727224.11041152</v>
      </c>
      <c r="CG83" s="1">
        <f t="shared" si="39"/>
        <v>-670283720.36818874</v>
      </c>
      <c r="CH83" s="1">
        <f t="shared" si="40"/>
        <v>-645540031.93517745</v>
      </c>
      <c r="CI83" s="1">
        <f t="shared" si="41"/>
        <v>-621496105.54584038</v>
      </c>
      <c r="CJ83" s="1">
        <f t="shared" si="42"/>
        <v>-598143684.7977916</v>
      </c>
      <c r="CK83" s="1">
        <f t="shared" si="43"/>
        <v>-575466408.77305913</v>
      </c>
      <c r="CL83" s="1">
        <f t="shared" si="44"/>
        <v>-553440005.54851103</v>
      </c>
      <c r="CM83" s="1">
        <f t="shared" si="45"/>
        <v>-532032578.24752313</v>
      </c>
      <c r="CN83" s="1">
        <f t="shared" si="46"/>
        <v>-511204980.20973593</v>
      </c>
      <c r="CO83" s="1">
        <f t="shared" si="47"/>
        <v>-490911274.82389611</v>
      </c>
      <c r="CP83" s="1">
        <f t="shared" si="48"/>
        <v>-471099274.59179646</v>
      </c>
      <c r="CQ83" s="1">
        <f t="shared" si="49"/>
        <v>-451711153.07994789</v>
      </c>
      <c r="CR83" s="1">
        <f t="shared" si="50"/>
        <v>-432684122.57969075</v>
      </c>
      <c r="CS83" s="1">
        <f t="shared" si="51"/>
        <v>-413951169.54492223</v>
      </c>
      <c r="CT83" s="1">
        <f t="shared" si="52"/>
        <v>-395441839.21740425</v>
      </c>
      <c r="CU83" s="1">
        <f t="shared" si="35"/>
        <v>-377083060.28960443</v>
      </c>
      <c r="CV83" s="1">
        <f t="shared" si="32"/>
        <v>-358800000</v>
      </c>
      <c r="CW83" s="2"/>
      <c r="CX83" s="2"/>
      <c r="CY83" s="1">
        <f t="shared" si="37"/>
        <v>300</v>
      </c>
      <c r="CZ83" s="1">
        <f t="shared" si="71"/>
        <v>291.30187853019203</v>
      </c>
      <c r="DA83" s="1">
        <f t="shared" si="72"/>
        <v>282.62488987665506</v>
      </c>
      <c r="DB83" s="1">
        <f t="shared" si="73"/>
        <v>273.98991857563033</v>
      </c>
      <c r="DC83" s="1">
        <f t="shared" si="74"/>
        <v>265.4173555383353</v>
      </c>
      <c r="DD83" s="1">
        <f t="shared" si="75"/>
        <v>256.92685854049967</v>
      </c>
      <c r="DE83" s="1">
        <f t="shared" si="76"/>
        <v>248.53712137531284</v>
      </c>
      <c r="DF83" s="1">
        <f t="shared" si="77"/>
        <v>240.26565439391067</v>
      </c>
      <c r="DG83" s="1">
        <f t="shared" si="78"/>
        <v>232.12857902001087</v>
      </c>
      <c r="DH83" s="1">
        <f t="shared" si="79"/>
        <v>224.1404386568272</v>
      </c>
      <c r="DI83" s="1">
        <f t="shared" si="80"/>
        <v>216.3140282071389</v>
      </c>
      <c r="DJ83" s="1">
        <f t="shared" si="81"/>
        <v>208.66024420391838</v>
      </c>
      <c r="DK83" s="1">
        <f t="shared" si="82"/>
        <v>201.18795730208956</v>
      </c>
      <c r="DL83" s="1">
        <f t="shared" si="83"/>
        <v>193.90390861494191</v>
      </c>
      <c r="DM83" s="1">
        <f t="shared" si="84"/>
        <v>186.81263109481293</v>
      </c>
      <c r="DN83" s="1">
        <f t="shared" si="85"/>
        <v>179.91639686041736</v>
      </c>
      <c r="DO83" s="1">
        <f t="shared" si="86"/>
        <v>173.21519106628773</v>
      </c>
      <c r="DP83" s="1">
        <f t="shared" si="87"/>
        <v>166.70671259693194</v>
      </c>
      <c r="DQ83" s="1">
        <f t="shared" si="88"/>
        <v>160.3864015532495</v>
      </c>
      <c r="DR83" s="1">
        <f t="shared" si="89"/>
        <v>154.24749318520378</v>
      </c>
      <c r="DS83" s="1">
        <f t="shared" si="90"/>
        <v>148.28109761636657</v>
      </c>
      <c r="DT83" s="1">
        <f t="shared" si="91"/>
        <v>142.47630440628092</v>
      </c>
      <c r="DU83" s="1">
        <f t="shared" si="92"/>
        <v>136.82031070900115</v>
      </c>
      <c r="DV83" s="1">
        <f t="shared" si="93"/>
        <v>131.29857151387861</v>
      </c>
      <c r="DW83" s="1">
        <f t="shared" si="53"/>
        <v>125.8949702006544</v>
      </c>
      <c r="DX83" s="1">
        <f t="shared" si="54"/>
        <v>120.5920074079406</v>
      </c>
      <c r="DY83" s="1">
        <f t="shared" si="55"/>
        <v>115.37100600471636</v>
      </c>
      <c r="DZ83" s="1">
        <f t="shared" si="56"/>
        <v>110.212329770737</v>
      </c>
      <c r="EA83" s="1">
        <f t="shared" si="57"/>
        <v>105.09561323567573</v>
      </c>
      <c r="EB83" s="1">
        <f t="shared" si="58"/>
        <v>100</v>
      </c>
    </row>
    <row r="84" spans="4:132">
      <c r="D84" s="2"/>
      <c r="E84" s="2"/>
      <c r="F84" s="1">
        <v>13</v>
      </c>
      <c r="G84" s="1">
        <f>$C$20/($C$21-$C$22*G85)</f>
        <v>0.39484815655420619</v>
      </c>
      <c r="H84" s="1">
        <f>$C$20/($C$21-$C$22*H85)</f>
        <v>0.39484815655420619</v>
      </c>
      <c r="I84" s="1">
        <f>$C$20/($C$21-$C$22*I85)</f>
        <v>0.39484815655420619</v>
      </c>
      <c r="J84" s="1">
        <f>$C$20/($C$21-$C$22*J85)</f>
        <v>0.39484815655420619</v>
      </c>
      <c r="K84" s="1">
        <f>$C$20/($C$21-$C$22*K85)</f>
        <v>0.39484815655420619</v>
      </c>
      <c r="L84" s="1">
        <f>$C$20/($C$21-$C$22*L85)</f>
        <v>0.39484815655420619</v>
      </c>
      <c r="M84" s="1">
        <f>$C$20/($C$21-$C$22*M85)</f>
        <v>0.39484815655420619</v>
      </c>
      <c r="N84" s="1">
        <f>$C$20/($C$21-$C$22*N85)</f>
        <v>0.39484815655420619</v>
      </c>
      <c r="O84" s="1">
        <f>$C$20/($C$21-$C$22*O85)</f>
        <v>0.39484815655420619</v>
      </c>
      <c r="P84" s="1">
        <f>$C$20/($C$21-$C$22*P85)</f>
        <v>0.39484815655420619</v>
      </c>
      <c r="Q84" s="1">
        <f>$C$20/($C$21-$C$22*Q85)</f>
        <v>0.39484815655420619</v>
      </c>
      <c r="R84" s="1">
        <f>$C$20/($C$21-$C$22*R85)</f>
        <v>0.39484815655420619</v>
      </c>
      <c r="S84" s="1">
        <f>$C$20/($C$21-$C$22*S85)</f>
        <v>0.39484815655420619</v>
      </c>
      <c r="T84" s="1">
        <f>$C$20/($C$21-$C$22*T85)</f>
        <v>0.39484815655420619</v>
      </c>
      <c r="U84" s="1">
        <f>$C$20/($C$21-$C$22*U85)</f>
        <v>0.39484815655420619</v>
      </c>
      <c r="V84" s="1">
        <f>$C$20/($C$21-$C$22*V85)</f>
        <v>0.39484815655420619</v>
      </c>
      <c r="W84" s="1">
        <f>$C$20/($C$21-$C$22*W85)</f>
        <v>0.39484815655420619</v>
      </c>
      <c r="X84" s="1">
        <f>$C$20/($C$21-$C$22*X85)</f>
        <v>0.39484815655420619</v>
      </c>
      <c r="Y84" s="1">
        <f>$C$20/($C$21-$C$22*Y85)</f>
        <v>0.39484815655420619</v>
      </c>
      <c r="Z84" s="1">
        <f>$C$20/($C$21-$C$22*Z85)</f>
        <v>0.39484815655420619</v>
      </c>
      <c r="AA84" s="1">
        <f>$C$20/($C$21-$C$22*AA85)</f>
        <v>0.39484815655420619</v>
      </c>
      <c r="AB84" s="1">
        <f>$C$20/($C$21-$C$22*AB85)</f>
        <v>0.39484815655420619</v>
      </c>
      <c r="AC84" s="1">
        <f>$C$20/($C$21-$C$22*AC85)</f>
        <v>0.39484815655420619</v>
      </c>
      <c r="AD84" s="1">
        <f>$C$20/($C$21-$C$22*AD85)</f>
        <v>0.39484815655420619</v>
      </c>
      <c r="AE84" s="1">
        <f>$C$20/($C$21-$C$22*AE85)</f>
        <v>0.39484815655420619</v>
      </c>
      <c r="AF84" s="1">
        <f>$C$20/($C$21-$C$22*AF85)</f>
        <v>0.39484815655420619</v>
      </c>
      <c r="AG84" s="1">
        <f>$C$20/($C$21-$C$22*AG85)</f>
        <v>0.39484815655420619</v>
      </c>
      <c r="AH84" s="1">
        <f>$C$20/($C$21-$C$22*AH85)</f>
        <v>0.39484815655420619</v>
      </c>
      <c r="AI84" s="1">
        <f>$C$20/($C$21-$C$22*AI85)</f>
        <v>0.39484815655420619</v>
      </c>
      <c r="AJ84" s="1">
        <f>$C$20/($C$21-$C$22*AJ85)</f>
        <v>0.39484815655420619</v>
      </c>
      <c r="AK84" s="2"/>
      <c r="AL84" s="2"/>
      <c r="AM84" s="1">
        <f>(AM85*$C$22-BS84)/($C$21-$C$22*G85)</f>
        <v>181.54555303373814</v>
      </c>
      <c r="AN84" s="1">
        <f>(AN85*$C$22-BT84)/($C$21-$C$22*H85)</f>
        <v>176.28186879176837</v>
      </c>
      <c r="AO84" s="1">
        <f>(AO85*$C$22-BU84)/($C$21-$C$22*I85)</f>
        <v>171.03097311252228</v>
      </c>
      <c r="AP84" s="1">
        <f>(AP85*$C$22-BV84)/($C$21-$C$22*J85)</f>
        <v>165.80550431160566</v>
      </c>
      <c r="AQ84" s="1">
        <f>(AQ85*$C$22-BW84)/($C$21-$C$22*K85)</f>
        <v>160.61780198653128</v>
      </c>
      <c r="AR84" s="1">
        <f>(AR85*$C$22-BX84)/($C$21-$C$22*L85)</f>
        <v>155.47976207652005</v>
      </c>
      <c r="AS84" s="1">
        <f>(AS85*$C$22-BY84)/($C$21-$C$22*M85)</f>
        <v>150.40269716498156</v>
      </c>
      <c r="AT84" s="1">
        <f>(AT85*$C$22-BZ84)/($C$21-$C$22*N85)</f>
        <v>145.397203673185</v>
      </c>
      <c r="AU84" s="1">
        <f>(AU85*$C$22-CA84)/($C$21-$C$22*O85)</f>
        <v>140.47303751041221</v>
      </c>
      <c r="AV84" s="1">
        <f>(AV85*$C$22-CB84)/($C$21-$C$22*P85)</f>
        <v>135.6389996439278</v>
      </c>
      <c r="AW84" s="1">
        <f>(AW85*$C$22-CC84)/($C$21-$C$22*Q85)</f>
        <v>130.90283293273552</v>
      </c>
      <c r="AX84" s="1">
        <f>(AX85*$C$22-CD84)/($C$21-$C$22*R85)</f>
        <v>126.27113143385073</v>
      </c>
      <c r="AY84" s="1">
        <f>(AY85*$C$22-CE84)/($C$21-$C$22*S85)</f>
        <v>121.74926324045313</v>
      </c>
      <c r="AZ84" s="1">
        <f>(AZ85*$C$22-CF84)/($C$21-$C$22*T85)</f>
        <v>117.34130774967684</v>
      </c>
      <c r="BA84" s="1">
        <f>(BA85*$C$22-CG84)/($C$21-$C$22*U85)</f>
        <v>113.05000808598507</v>
      </c>
      <c r="BB84" s="1">
        <f>(BB85*$C$22-CH84)/($C$21-$C$22*V85)</f>
        <v>108.8767392262066</v>
      </c>
      <c r="BC84" s="1">
        <f>(BC85*$C$22-CI84)/($C$21-$C$22*W85)</f>
        <v>104.82149218657942</v>
      </c>
      <c r="BD84" s="1">
        <f>(BD85*$C$22-CJ84)/($C$21-$C$22*X85)</f>
        <v>100.88287444282147</v>
      </c>
      <c r="BE84" s="1">
        <f>(BE85*$C$22-CK84)/($C$21-$C$22*Y85)</f>
        <v>97.058126563586242</v>
      </c>
      <c r="BF84" s="1">
        <f>(BF85*$C$22-CL84)/($C$21-$C$22*Z85)</f>
        <v>93.343154847918569</v>
      </c>
      <c r="BG84" s="1">
        <f>(BG85*$C$22-CM84)/($C$21-$C$22*AA85)</f>
        <v>89.732579570709916</v>
      </c>
      <c r="BH84" s="1">
        <f>(BH85*$C$22-CN84)/($C$21-$C$22*AB85)</f>
        <v>86.219798258804971</v>
      </c>
      <c r="BI84" s="1">
        <f>(BI85*$C$22-CO84)/($C$21-$C$22*AC85)</f>
        <v>82.797063246378315</v>
      </c>
      <c r="BJ84" s="1">
        <f>(BJ85*$C$22-CP84)/($C$21-$C$22*AD85)</f>
        <v>79.455572593423042</v>
      </c>
      <c r="BK84" s="1">
        <f>(BK85*$C$22-CQ84)/($C$21-$C$22*AE85)</f>
        <v>76.18557329747928</v>
      </c>
      <c r="BL84" s="1">
        <f>(BL85*$C$22-CR84)/($C$21-$C$22*AF85)</f>
        <v>72.976475587744048</v>
      </c>
      <c r="BM84" s="1">
        <f>(BM85*$C$22-CS84)/($C$21-$C$22*AG85)</f>
        <v>69.816976963949841</v>
      </c>
      <c r="BN84" s="1">
        <f>(BN85*$C$22-CT84)/($C$21-$C$22*AH85)</f>
        <v>66.695194531217211</v>
      </c>
      <c r="BO84" s="1">
        <f>(BO85*$C$22-CU84)/($C$21-$C$22*AI85)</f>
        <v>63.598804087635322</v>
      </c>
      <c r="BP84" s="1">
        <f>(BP85*$C$22-CV84)/($C$21-$C$22*AJ85)</f>
        <v>60.515184344579389</v>
      </c>
      <c r="BQ84" s="2"/>
      <c r="BR84" s="2"/>
      <c r="BS84" s="1">
        <f t="shared" si="34"/>
        <v>-1076400000</v>
      </c>
      <c r="BT84" s="1">
        <f t="shared" si="59"/>
        <v>-1045191140.1663288</v>
      </c>
      <c r="BU84" s="1">
        <f t="shared" si="60"/>
        <v>-1014058104.8774383</v>
      </c>
      <c r="BV84" s="1">
        <f t="shared" si="61"/>
        <v>-983075827.84936166</v>
      </c>
      <c r="BW84" s="1">
        <f t="shared" si="62"/>
        <v>-952317471.67154706</v>
      </c>
      <c r="BX84" s="1">
        <f t="shared" si="63"/>
        <v>-921853568.44331276</v>
      </c>
      <c r="BY84" s="1">
        <f t="shared" si="64"/>
        <v>-891751191.49462247</v>
      </c>
      <c r="BZ84" s="1">
        <f t="shared" si="65"/>
        <v>-862073167.96535146</v>
      </c>
      <c r="CA84" s="1">
        <f t="shared" si="66"/>
        <v>-832877341.52379906</v>
      </c>
      <c r="CB84" s="1">
        <f t="shared" si="67"/>
        <v>-804215893.9006958</v>
      </c>
      <c r="CC84" s="1">
        <f t="shared" si="68"/>
        <v>-776134733.20721424</v>
      </c>
      <c r="CD84" s="1">
        <f t="shared" si="69"/>
        <v>-748672956.20365906</v>
      </c>
      <c r="CE84" s="1">
        <f t="shared" si="70"/>
        <v>-721862390.79989719</v>
      </c>
      <c r="CF84" s="1">
        <f t="shared" si="38"/>
        <v>-695727224.11041152</v>
      </c>
      <c r="CG84" s="1">
        <f t="shared" si="39"/>
        <v>-670283720.36818874</v>
      </c>
      <c r="CH84" s="1">
        <f t="shared" si="40"/>
        <v>-645540031.93517745</v>
      </c>
      <c r="CI84" s="1">
        <f t="shared" si="41"/>
        <v>-621496105.54584038</v>
      </c>
      <c r="CJ84" s="1">
        <f t="shared" si="42"/>
        <v>-598143684.7977916</v>
      </c>
      <c r="CK84" s="1">
        <f t="shared" si="43"/>
        <v>-575466408.77305913</v>
      </c>
      <c r="CL84" s="1">
        <f t="shared" si="44"/>
        <v>-553440005.54851103</v>
      </c>
      <c r="CM84" s="1">
        <f t="shared" si="45"/>
        <v>-532032578.24752313</v>
      </c>
      <c r="CN84" s="1">
        <f t="shared" si="46"/>
        <v>-511204980.20973593</v>
      </c>
      <c r="CO84" s="1">
        <f t="shared" si="47"/>
        <v>-490911274.82389611</v>
      </c>
      <c r="CP84" s="1">
        <f t="shared" si="48"/>
        <v>-471099274.59179646</v>
      </c>
      <c r="CQ84" s="1">
        <f t="shared" si="49"/>
        <v>-451711153.07994789</v>
      </c>
      <c r="CR84" s="1">
        <f t="shared" si="50"/>
        <v>-432684122.57969075</v>
      </c>
      <c r="CS84" s="1">
        <f t="shared" si="51"/>
        <v>-413951169.54492223</v>
      </c>
      <c r="CT84" s="1">
        <f t="shared" si="52"/>
        <v>-395441839.21740425</v>
      </c>
      <c r="CU84" s="1">
        <f t="shared" si="35"/>
        <v>-377083060.28960443</v>
      </c>
      <c r="CV84" s="1">
        <f t="shared" si="32"/>
        <v>-358800000</v>
      </c>
      <c r="CW84" s="2"/>
      <c r="CX84" s="2"/>
      <c r="CY84" s="1">
        <f t="shared" si="37"/>
        <v>300</v>
      </c>
      <c r="CZ84" s="1">
        <f t="shared" si="71"/>
        <v>291.30187853019197</v>
      </c>
      <c r="DA84" s="1">
        <f t="shared" si="72"/>
        <v>282.62488987665506</v>
      </c>
      <c r="DB84" s="1">
        <f t="shared" si="73"/>
        <v>273.98991857563033</v>
      </c>
      <c r="DC84" s="1">
        <f t="shared" si="74"/>
        <v>265.4173555383353</v>
      </c>
      <c r="DD84" s="1">
        <f t="shared" si="75"/>
        <v>256.92685854049967</v>
      </c>
      <c r="DE84" s="1">
        <f t="shared" si="76"/>
        <v>248.53712137531284</v>
      </c>
      <c r="DF84" s="1">
        <f t="shared" si="77"/>
        <v>240.26565439391064</v>
      </c>
      <c r="DG84" s="1">
        <f t="shared" si="78"/>
        <v>232.12857902001087</v>
      </c>
      <c r="DH84" s="1">
        <f t="shared" si="79"/>
        <v>224.14043865682714</v>
      </c>
      <c r="DI84" s="1">
        <f t="shared" si="80"/>
        <v>216.31402820713888</v>
      </c>
      <c r="DJ84" s="1">
        <f t="shared" si="81"/>
        <v>208.66024420391838</v>
      </c>
      <c r="DK84" s="1">
        <f t="shared" si="82"/>
        <v>201.18795730208956</v>
      </c>
      <c r="DL84" s="1">
        <f t="shared" si="83"/>
        <v>193.90390861494191</v>
      </c>
      <c r="DM84" s="1">
        <f t="shared" si="84"/>
        <v>186.81263109481293</v>
      </c>
      <c r="DN84" s="1">
        <f t="shared" si="85"/>
        <v>179.91639686041736</v>
      </c>
      <c r="DO84" s="1">
        <f t="shared" si="86"/>
        <v>173.21519106628773</v>
      </c>
      <c r="DP84" s="1">
        <f t="shared" si="87"/>
        <v>166.70671259693191</v>
      </c>
      <c r="DQ84" s="1">
        <f t="shared" si="88"/>
        <v>160.38640155324947</v>
      </c>
      <c r="DR84" s="1">
        <f t="shared" si="89"/>
        <v>154.24749318520378</v>
      </c>
      <c r="DS84" s="1">
        <f t="shared" si="90"/>
        <v>148.28109761636654</v>
      </c>
      <c r="DT84" s="1">
        <f t="shared" si="91"/>
        <v>142.47630440628092</v>
      </c>
      <c r="DU84" s="1">
        <f t="shared" si="92"/>
        <v>136.82031070900115</v>
      </c>
      <c r="DV84" s="1">
        <f t="shared" si="93"/>
        <v>131.29857151387861</v>
      </c>
      <c r="DW84" s="1">
        <f t="shared" si="53"/>
        <v>125.8949702006544</v>
      </c>
      <c r="DX84" s="1">
        <f t="shared" si="54"/>
        <v>120.59200740794057</v>
      </c>
      <c r="DY84" s="1">
        <f t="shared" si="55"/>
        <v>115.37100600471635</v>
      </c>
      <c r="DZ84" s="1">
        <f t="shared" si="56"/>
        <v>110.21232977073697</v>
      </c>
      <c r="EA84" s="1">
        <f t="shared" si="57"/>
        <v>105.09561323567571</v>
      </c>
      <c r="EB84" s="1">
        <f t="shared" si="58"/>
        <v>100</v>
      </c>
    </row>
    <row r="85" spans="4:132">
      <c r="D85" s="2"/>
      <c r="E85" s="2"/>
      <c r="F85" s="1">
        <v>12</v>
      </c>
      <c r="G85" s="1">
        <f>$C$20/($C$21-$C$22*G86)</f>
        <v>0.39484815749662749</v>
      </c>
      <c r="H85" s="1">
        <f>$C$20/($C$21-$C$22*H86)</f>
        <v>0.39484815749662749</v>
      </c>
      <c r="I85" s="1">
        <f>$C$20/($C$21-$C$22*I86)</f>
        <v>0.39484815749662749</v>
      </c>
      <c r="J85" s="1">
        <f>$C$20/($C$21-$C$22*J86)</f>
        <v>0.39484815749662749</v>
      </c>
      <c r="K85" s="1">
        <f>$C$20/($C$21-$C$22*K86)</f>
        <v>0.39484815749662749</v>
      </c>
      <c r="L85" s="1">
        <f>$C$20/($C$21-$C$22*L86)</f>
        <v>0.39484815749662749</v>
      </c>
      <c r="M85" s="1">
        <f>$C$20/($C$21-$C$22*M86)</f>
        <v>0.39484815749662749</v>
      </c>
      <c r="N85" s="1">
        <f>$C$20/($C$21-$C$22*N86)</f>
        <v>0.39484815749662749</v>
      </c>
      <c r="O85" s="1">
        <f>$C$20/($C$21-$C$22*O86)</f>
        <v>0.39484815749662749</v>
      </c>
      <c r="P85" s="1">
        <f>$C$20/($C$21-$C$22*P86)</f>
        <v>0.39484815749662749</v>
      </c>
      <c r="Q85" s="1">
        <f>$C$20/($C$21-$C$22*Q86)</f>
        <v>0.39484815749662749</v>
      </c>
      <c r="R85" s="1">
        <f>$C$20/($C$21-$C$22*R86)</f>
        <v>0.39484815749662749</v>
      </c>
      <c r="S85" s="1">
        <f>$C$20/($C$21-$C$22*S86)</f>
        <v>0.39484815749662749</v>
      </c>
      <c r="T85" s="1">
        <f>$C$20/($C$21-$C$22*T86)</f>
        <v>0.39484815749662749</v>
      </c>
      <c r="U85" s="1">
        <f>$C$20/($C$21-$C$22*U86)</f>
        <v>0.39484815749662749</v>
      </c>
      <c r="V85" s="1">
        <f>$C$20/($C$21-$C$22*V86)</f>
        <v>0.39484815749662749</v>
      </c>
      <c r="W85" s="1">
        <f>$C$20/($C$21-$C$22*W86)</f>
        <v>0.39484815749662749</v>
      </c>
      <c r="X85" s="1">
        <f>$C$20/($C$21-$C$22*X86)</f>
        <v>0.39484815749662749</v>
      </c>
      <c r="Y85" s="1">
        <f>$C$20/($C$21-$C$22*Y86)</f>
        <v>0.39484815749662749</v>
      </c>
      <c r="Z85" s="1">
        <f>$C$20/($C$21-$C$22*Z86)</f>
        <v>0.39484815749662749</v>
      </c>
      <c r="AA85" s="1">
        <f>$C$20/($C$21-$C$22*AA86)</f>
        <v>0.39484815749662749</v>
      </c>
      <c r="AB85" s="1">
        <f>$C$20/($C$21-$C$22*AB86)</f>
        <v>0.39484815749662749</v>
      </c>
      <c r="AC85" s="1">
        <f>$C$20/($C$21-$C$22*AC86)</f>
        <v>0.39484815749662749</v>
      </c>
      <c r="AD85" s="1">
        <f>$C$20/($C$21-$C$22*AD86)</f>
        <v>0.39484815749662749</v>
      </c>
      <c r="AE85" s="1">
        <f>$C$20/($C$21-$C$22*AE86)</f>
        <v>0.39484815749662749</v>
      </c>
      <c r="AF85" s="1">
        <f>$C$20/($C$21-$C$22*AF86)</f>
        <v>0.39484815749662749</v>
      </c>
      <c r="AG85" s="1">
        <f>$C$20/($C$21-$C$22*AG86)</f>
        <v>0.39484815749662749</v>
      </c>
      <c r="AH85" s="1">
        <f>$C$20/($C$21-$C$22*AH86)</f>
        <v>0.39484815749662749</v>
      </c>
      <c r="AI85" s="1">
        <f>$C$20/($C$21-$C$22*AI86)</f>
        <v>0.39484815749662749</v>
      </c>
      <c r="AJ85" s="1">
        <f>$C$20/($C$21-$C$22*AJ86)</f>
        <v>0.39484815749662749</v>
      </c>
      <c r="AK85" s="2"/>
      <c r="AL85" s="2"/>
      <c r="AM85" s="1">
        <f>(AM86*$C$22-BS85)/($C$21-$C$22*G86)</f>
        <v>181.54555275101174</v>
      </c>
      <c r="AN85" s="1">
        <f>(AN86*$C$22-BT85)/($C$21-$C$22*H86)</f>
        <v>176.2818685172393</v>
      </c>
      <c r="AO85" s="1">
        <f>(AO86*$C$22-BU85)/($C$21-$C$22*I86)</f>
        <v>171.03097284617056</v>
      </c>
      <c r="AP85" s="1">
        <f>(AP86*$C$22-BV85)/($C$21-$C$22*J86)</f>
        <v>165.80550405339173</v>
      </c>
      <c r="AQ85" s="1">
        <f>(AQ86*$C$22-BW85)/($C$21-$C$22*K86)</f>
        <v>160.6178017363963</v>
      </c>
      <c r="AR85" s="1">
        <f>(AR86*$C$22-BX85)/($C$21-$C$22*L86)</f>
        <v>155.47976183438672</v>
      </c>
      <c r="AS85" s="1">
        <f>(AS86*$C$22-BY85)/($C$21-$C$22*M86)</f>
        <v>150.40269693075487</v>
      </c>
      <c r="AT85" s="1">
        <f>(AT86*$C$22-BZ85)/($C$21-$C$22*N86)</f>
        <v>145.39720344675354</v>
      </c>
      <c r="AU85" s="1">
        <f>(AU86*$C$22-CA85)/($C$21-$C$22*O86)</f>
        <v>140.47303729164929</v>
      </c>
      <c r="AV85" s="1">
        <f>(AV86*$C$22-CB85)/($C$21-$C$22*P86)</f>
        <v>135.63899943269308</v>
      </c>
      <c r="AW85" s="1">
        <f>(AW86*$C$22-CC85)/($C$21-$C$22*Q86)</f>
        <v>130.90283272887658</v>
      </c>
      <c r="AX85" s="1">
        <f>(AX86*$C$22-CD85)/($C$21-$C$22*R86)</f>
        <v>126.27113123720487</v>
      </c>
      <c r="AY85" s="1">
        <f>(AY86*$C$22-CE85)/($C$21-$C$22*S86)</f>
        <v>121.74926305084931</v>
      </c>
      <c r="AZ85" s="1">
        <f>(AZ86*$C$22-CF85)/($C$21-$C$22*T86)</f>
        <v>117.34130756693769</v>
      </c>
      <c r="BA85" s="1">
        <f>(BA86*$C$22-CG85)/($C$21-$C$22*U86)</f>
        <v>113.05000790992885</v>
      </c>
      <c r="BB85" s="1">
        <f>(BB86*$C$22-CH85)/($C$21-$C$22*V86)</f>
        <v>108.87673905664955</v>
      </c>
      <c r="BC85" s="1">
        <f>(BC86*$C$22-CI85)/($C$21-$C$22*W86)</f>
        <v>104.82149202333773</v>
      </c>
      <c r="BD85" s="1">
        <f>(BD86*$C$22-CJ85)/($C$21-$C$22*X86)</f>
        <v>100.88287428571351</v>
      </c>
      <c r="BE85" s="1">
        <f>(BE86*$C$22-CK85)/($C$21-$C$22*Y86)</f>
        <v>97.058126412434689</v>
      </c>
      <c r="BF85" s="1">
        <f>(BF86*$C$22-CL85)/($C$21-$C$22*Z86)</f>
        <v>93.343154702552454</v>
      </c>
      <c r="BG85" s="1">
        <f>(BG86*$C$22-CM85)/($C$21-$C$22*AA86)</f>
        <v>89.732579430966652</v>
      </c>
      <c r="BH85" s="1">
        <f>(BH86*$C$22-CN85)/($C$21-$C$22*AB86)</f>
        <v>86.219798124532261</v>
      </c>
      <c r="BI85" s="1">
        <f>(BI86*$C$22-CO85)/($C$21-$C$22*AC86)</f>
        <v>82.79706311743594</v>
      </c>
      <c r="BJ85" s="1">
        <f>(BJ86*$C$22-CP85)/($C$21-$C$22*AD86)</f>
        <v>79.455572469684469</v>
      </c>
      <c r="BK85" s="1">
        <f>(BK86*$C$22-CQ85)/($C$21-$C$22*AE86)</f>
        <v>76.185573178833167</v>
      </c>
      <c r="BL85" s="1">
        <f>(BL86*$C$22-CR85)/($C$21-$C$22*AF86)</f>
        <v>72.976475474095594</v>
      </c>
      <c r="BM85" s="1">
        <f>(BM86*$C$22-CS85)/($C$21-$C$22*AG86)</f>
        <v>69.816976855221753</v>
      </c>
      <c r="BN85" s="1">
        <f>(BN86*$C$22-CT85)/($C$21-$C$22*AH86)</f>
        <v>66.695194427350771</v>
      </c>
      <c r="BO85" s="1">
        <f>(BO86*$C$22-CU85)/($C$21-$C$22*AI86)</f>
        <v>63.59880398859098</v>
      </c>
      <c r="BP85" s="1">
        <f>(BP86*$C$22-CV85)/($C$21-$C$22*AJ86)</f>
        <v>60.515184250337256</v>
      </c>
      <c r="BQ85" s="2"/>
      <c r="BR85" s="2"/>
      <c r="BS85" s="1">
        <f t="shared" si="34"/>
        <v>-1076400000</v>
      </c>
      <c r="BT85" s="1">
        <f t="shared" si="59"/>
        <v>-1045191140.1663288</v>
      </c>
      <c r="BU85" s="1">
        <f t="shared" si="60"/>
        <v>-1014058104.8774383</v>
      </c>
      <c r="BV85" s="1">
        <f t="shared" si="61"/>
        <v>-983075827.84936166</v>
      </c>
      <c r="BW85" s="1">
        <f t="shared" si="62"/>
        <v>-952317471.67154706</v>
      </c>
      <c r="BX85" s="1">
        <f t="shared" si="63"/>
        <v>-921853568.44331276</v>
      </c>
      <c r="BY85" s="1">
        <f t="shared" si="64"/>
        <v>-891751191.49462247</v>
      </c>
      <c r="BZ85" s="1">
        <f t="shared" si="65"/>
        <v>-862073167.96535146</v>
      </c>
      <c r="CA85" s="1">
        <f t="shared" si="66"/>
        <v>-832877341.52379906</v>
      </c>
      <c r="CB85" s="1">
        <f t="shared" si="67"/>
        <v>-804215893.9006958</v>
      </c>
      <c r="CC85" s="1">
        <f t="shared" si="68"/>
        <v>-776134733.20721424</v>
      </c>
      <c r="CD85" s="1">
        <f t="shared" si="69"/>
        <v>-748672956.20365906</v>
      </c>
      <c r="CE85" s="1">
        <f t="shared" si="70"/>
        <v>-721862390.79989719</v>
      </c>
      <c r="CF85" s="1">
        <f t="shared" si="38"/>
        <v>-695727224.11041152</v>
      </c>
      <c r="CG85" s="1">
        <f t="shared" si="39"/>
        <v>-670283720.36818874</v>
      </c>
      <c r="CH85" s="1">
        <f t="shared" si="40"/>
        <v>-645540031.93517745</v>
      </c>
      <c r="CI85" s="1">
        <f t="shared" si="41"/>
        <v>-621496105.54584038</v>
      </c>
      <c r="CJ85" s="1">
        <f t="shared" si="42"/>
        <v>-598143684.7977916</v>
      </c>
      <c r="CK85" s="1">
        <f t="shared" si="43"/>
        <v>-575466408.77305913</v>
      </c>
      <c r="CL85" s="1">
        <f t="shared" si="44"/>
        <v>-553440005.54851103</v>
      </c>
      <c r="CM85" s="1">
        <f t="shared" si="45"/>
        <v>-532032578.24752301</v>
      </c>
      <c r="CN85" s="1">
        <f t="shared" si="46"/>
        <v>-511204980.20973581</v>
      </c>
      <c r="CO85" s="1">
        <f t="shared" si="47"/>
        <v>-490911274.82389599</v>
      </c>
      <c r="CP85" s="1">
        <f t="shared" si="48"/>
        <v>-471099274.59179646</v>
      </c>
      <c r="CQ85" s="1">
        <f t="shared" si="49"/>
        <v>-451711153.07994789</v>
      </c>
      <c r="CR85" s="1">
        <f t="shared" si="50"/>
        <v>-432684122.57969075</v>
      </c>
      <c r="CS85" s="1">
        <f t="shared" si="51"/>
        <v>-413951169.54492223</v>
      </c>
      <c r="CT85" s="1">
        <f t="shared" si="52"/>
        <v>-395441839.21740425</v>
      </c>
      <c r="CU85" s="1">
        <f t="shared" si="35"/>
        <v>-377083060.28960443</v>
      </c>
      <c r="CV85" s="1">
        <f t="shared" si="32"/>
        <v>-358800000</v>
      </c>
      <c r="CW85" s="2"/>
      <c r="CX85" s="2"/>
      <c r="CY85" s="1">
        <f t="shared" si="37"/>
        <v>300</v>
      </c>
      <c r="CZ85" s="1">
        <f t="shared" si="71"/>
        <v>291.30187853019197</v>
      </c>
      <c r="DA85" s="1">
        <f t="shared" si="72"/>
        <v>282.62488987665506</v>
      </c>
      <c r="DB85" s="1">
        <f t="shared" si="73"/>
        <v>273.98991857563033</v>
      </c>
      <c r="DC85" s="1">
        <f t="shared" si="74"/>
        <v>265.4173555383353</v>
      </c>
      <c r="DD85" s="1">
        <f t="shared" si="75"/>
        <v>256.92685854049967</v>
      </c>
      <c r="DE85" s="1">
        <f t="shared" si="76"/>
        <v>248.53712137531284</v>
      </c>
      <c r="DF85" s="1">
        <f t="shared" si="77"/>
        <v>240.26565439391064</v>
      </c>
      <c r="DG85" s="1">
        <f t="shared" si="78"/>
        <v>232.12857902001087</v>
      </c>
      <c r="DH85" s="1">
        <f t="shared" si="79"/>
        <v>224.14043865682714</v>
      </c>
      <c r="DI85" s="1">
        <f t="shared" si="80"/>
        <v>216.31402820713885</v>
      </c>
      <c r="DJ85" s="1">
        <f t="shared" si="81"/>
        <v>208.66024420391841</v>
      </c>
      <c r="DK85" s="1">
        <f t="shared" si="82"/>
        <v>201.18795730208953</v>
      </c>
      <c r="DL85" s="1">
        <f t="shared" si="83"/>
        <v>193.90390861494194</v>
      </c>
      <c r="DM85" s="1">
        <f t="shared" si="84"/>
        <v>186.8126310948129</v>
      </c>
      <c r="DN85" s="1">
        <f t="shared" si="85"/>
        <v>179.91639686041736</v>
      </c>
      <c r="DO85" s="1">
        <f t="shared" si="86"/>
        <v>173.21519106628773</v>
      </c>
      <c r="DP85" s="1">
        <f t="shared" si="87"/>
        <v>166.70671259693188</v>
      </c>
      <c r="DQ85" s="1">
        <f t="shared" si="88"/>
        <v>160.38640155324947</v>
      </c>
      <c r="DR85" s="1">
        <f t="shared" si="89"/>
        <v>154.24749318520378</v>
      </c>
      <c r="DS85" s="1">
        <f t="shared" si="90"/>
        <v>148.28109761636654</v>
      </c>
      <c r="DT85" s="1">
        <f t="shared" si="91"/>
        <v>142.47630440628092</v>
      </c>
      <c r="DU85" s="1">
        <f t="shared" si="92"/>
        <v>136.82031070900115</v>
      </c>
      <c r="DV85" s="1">
        <f t="shared" si="93"/>
        <v>131.29857151387861</v>
      </c>
      <c r="DW85" s="1">
        <f t="shared" si="53"/>
        <v>125.89497020065437</v>
      </c>
      <c r="DX85" s="1">
        <f t="shared" si="54"/>
        <v>120.59200740794059</v>
      </c>
      <c r="DY85" s="1">
        <f t="shared" si="55"/>
        <v>115.37100600471635</v>
      </c>
      <c r="DZ85" s="1">
        <f t="shared" si="56"/>
        <v>110.21232977073697</v>
      </c>
      <c r="EA85" s="1">
        <f t="shared" si="57"/>
        <v>105.09561323567571</v>
      </c>
      <c r="EB85" s="1">
        <f t="shared" si="58"/>
        <v>100</v>
      </c>
    </row>
    <row r="86" spans="4:132">
      <c r="D86" s="2"/>
      <c r="E86" s="2"/>
      <c r="F86" s="1">
        <v>11</v>
      </c>
      <c r="G86" s="1">
        <f>$C$20/($C$21-$C$22*G87)</f>
        <v>0.39484816354146846</v>
      </c>
      <c r="H86" s="1">
        <f>$C$20/($C$21-$C$22*H87)</f>
        <v>0.39484816354146846</v>
      </c>
      <c r="I86" s="1">
        <f>$C$20/($C$21-$C$22*I87)</f>
        <v>0.39484816354146846</v>
      </c>
      <c r="J86" s="1">
        <f>$C$20/($C$21-$C$22*J87)</f>
        <v>0.39484816354146846</v>
      </c>
      <c r="K86" s="1">
        <f>$C$20/($C$21-$C$22*K87)</f>
        <v>0.39484816354146846</v>
      </c>
      <c r="L86" s="1">
        <f>$C$20/($C$21-$C$22*L87)</f>
        <v>0.39484816354146846</v>
      </c>
      <c r="M86" s="1">
        <f>$C$20/($C$21-$C$22*M87)</f>
        <v>0.39484816354146846</v>
      </c>
      <c r="N86" s="1">
        <f>$C$20/($C$21-$C$22*N87)</f>
        <v>0.39484816354146846</v>
      </c>
      <c r="O86" s="1">
        <f>$C$20/($C$21-$C$22*O87)</f>
        <v>0.39484816354146846</v>
      </c>
      <c r="P86" s="1">
        <f>$C$20/($C$21-$C$22*P87)</f>
        <v>0.39484816354146846</v>
      </c>
      <c r="Q86" s="1">
        <f>$C$20/($C$21-$C$22*Q87)</f>
        <v>0.39484816354146846</v>
      </c>
      <c r="R86" s="1">
        <f>$C$20/($C$21-$C$22*R87)</f>
        <v>0.39484816354146846</v>
      </c>
      <c r="S86" s="1">
        <f>$C$20/($C$21-$C$22*S87)</f>
        <v>0.39484816354146846</v>
      </c>
      <c r="T86" s="1">
        <f>$C$20/($C$21-$C$22*T87)</f>
        <v>0.39484816354146846</v>
      </c>
      <c r="U86" s="1">
        <f>$C$20/($C$21-$C$22*U87)</f>
        <v>0.39484816354146846</v>
      </c>
      <c r="V86" s="1">
        <f>$C$20/($C$21-$C$22*V87)</f>
        <v>0.39484816354146846</v>
      </c>
      <c r="W86" s="1">
        <f>$C$20/($C$21-$C$22*W87)</f>
        <v>0.39484816354146846</v>
      </c>
      <c r="X86" s="1">
        <f>$C$20/($C$21-$C$22*X87)</f>
        <v>0.39484816354146846</v>
      </c>
      <c r="Y86" s="1">
        <f>$C$20/($C$21-$C$22*Y87)</f>
        <v>0.39484816354146846</v>
      </c>
      <c r="Z86" s="1">
        <f>$C$20/($C$21-$C$22*Z87)</f>
        <v>0.39484816354146846</v>
      </c>
      <c r="AA86" s="1">
        <f>$C$20/($C$21-$C$22*AA87)</f>
        <v>0.39484816354146846</v>
      </c>
      <c r="AB86" s="1">
        <f>$C$20/($C$21-$C$22*AB87)</f>
        <v>0.39484816354146846</v>
      </c>
      <c r="AC86" s="1">
        <f>$C$20/($C$21-$C$22*AC87)</f>
        <v>0.39484816354146846</v>
      </c>
      <c r="AD86" s="1">
        <f>$C$20/($C$21-$C$22*AD87)</f>
        <v>0.39484816354146846</v>
      </c>
      <c r="AE86" s="1">
        <f>$C$20/($C$21-$C$22*AE87)</f>
        <v>0.39484816354146846</v>
      </c>
      <c r="AF86" s="1">
        <f>$C$20/($C$21-$C$22*AF87)</f>
        <v>0.39484816354146846</v>
      </c>
      <c r="AG86" s="1">
        <f>$C$20/($C$21-$C$22*AG87)</f>
        <v>0.39484816354146846</v>
      </c>
      <c r="AH86" s="1">
        <f>$C$20/($C$21-$C$22*AH87)</f>
        <v>0.39484816354146846</v>
      </c>
      <c r="AI86" s="1">
        <f>$C$20/($C$21-$C$22*AI87)</f>
        <v>0.39484816354146846</v>
      </c>
      <c r="AJ86" s="1">
        <f>$C$20/($C$21-$C$22*AJ87)</f>
        <v>0.39484816354146846</v>
      </c>
      <c r="AK86" s="2"/>
      <c r="AL86" s="2"/>
      <c r="AM86" s="1">
        <f>(AM87*$C$22-BS86)/($C$21-$C$22*G87)</f>
        <v>181.54555093755948</v>
      </c>
      <c r="AN86" s="1">
        <f>(AN87*$C$22-BT86)/($C$21-$C$22*H87)</f>
        <v>176.28186675636579</v>
      </c>
      <c r="AO86" s="1">
        <f>(AO87*$C$22-BU86)/($C$21-$C$22*I87)</f>
        <v>171.03097113774805</v>
      </c>
      <c r="AP86" s="1">
        <f>(AP87*$C$22-BV86)/($C$21-$C$22*J87)</f>
        <v>165.80550239716626</v>
      </c>
      <c r="AQ86" s="1">
        <f>(AQ87*$C$22-BW86)/($C$21-$C$22*K87)</f>
        <v>160.61780013199061</v>
      </c>
      <c r="AR86" s="1">
        <f>(AR87*$C$22-BX86)/($C$21-$C$22*L87)</f>
        <v>155.47976028130472</v>
      </c>
      <c r="AS86" s="1">
        <f>(AS87*$C$22-BY86)/($C$21-$C$22*M87)</f>
        <v>150.40269542838749</v>
      </c>
      <c r="AT86" s="1">
        <f>(AT87*$C$22-BZ86)/($C$21-$C$22*N87)</f>
        <v>145.39720199438585</v>
      </c>
      <c r="AU86" s="1">
        <f>(AU87*$C$22-CA86)/($C$21-$C$22*O87)</f>
        <v>140.47303588846893</v>
      </c>
      <c r="AV86" s="1">
        <f>(AV87*$C$22-CB86)/($C$21-$C$22*P87)</f>
        <v>135.63899807779981</v>
      </c>
      <c r="AW86" s="1">
        <f>(AW87*$C$22-CC86)/($C$21-$C$22*Q87)</f>
        <v>130.90283142129269</v>
      </c>
      <c r="AX86" s="1">
        <f>(AX87*$C$22-CD86)/($C$21-$C$22*R87)</f>
        <v>126.27112997588688</v>
      </c>
      <c r="AY86" s="1">
        <f>(AY87*$C$22-CE86)/($C$21-$C$22*S87)</f>
        <v>121.74926183470014</v>
      </c>
      <c r="AZ86" s="1">
        <f>(AZ87*$C$22-CF86)/($C$21-$C$22*T87)</f>
        <v>117.3413063948194</v>
      </c>
      <c r="BA86" s="1">
        <f>(BA87*$C$22-CG86)/($C$21-$C$22*U87)</f>
        <v>113.05000678067621</v>
      </c>
      <c r="BB86" s="1">
        <f>(BB87*$C$22-CH86)/($C$21-$C$22*V87)</f>
        <v>108.87673796908356</v>
      </c>
      <c r="BC86" s="1">
        <f>(BC87*$C$22-CI86)/($C$21-$C$22*W87)</f>
        <v>104.82149097627946</v>
      </c>
      <c r="BD86" s="1">
        <f>(BD87*$C$22-CJ86)/($C$21-$C$22*X87)</f>
        <v>100.88287327799796</v>
      </c>
      <c r="BE86" s="1">
        <f>(BE87*$C$22-CK86)/($C$21-$C$22*Y87)</f>
        <v>97.058125442924407</v>
      </c>
      <c r="BF86" s="1">
        <f>(BF87*$C$22-CL86)/($C$21-$C$22*Z87)</f>
        <v>93.343153770150892</v>
      </c>
      <c r="BG86" s="1">
        <f>(BG87*$C$22-CM86)/($C$21-$C$22*AA87)</f>
        <v>89.732578534631003</v>
      </c>
      <c r="BH86" s="1">
        <f>(BH87*$C$22-CN86)/($C$21-$C$22*AB87)</f>
        <v>86.219797263285685</v>
      </c>
      <c r="BI86" s="1">
        <f>(BI87*$C$22-CO86)/($C$21-$C$22*AC87)</f>
        <v>82.797062290378946</v>
      </c>
      <c r="BJ86" s="1">
        <f>(BJ87*$C$22-CP86)/($C$21-$C$22*AD87)</f>
        <v>79.455571676005491</v>
      </c>
      <c r="BK86" s="1">
        <f>(BK87*$C$22-CQ86)/($C$21-$C$22*AE87)</f>
        <v>76.185572417818108</v>
      </c>
      <c r="BL86" s="1">
        <f>(BL87*$C$22-CR86)/($C$21-$C$22*AF87)</f>
        <v>72.976474745136088</v>
      </c>
      <c r="BM86" s="1">
        <f>(BM87*$C$22-CS86)/($C$21-$C$22*AG87)</f>
        <v>69.816976157822381</v>
      </c>
      <c r="BN86" s="1">
        <f>(BN87*$C$22-CT86)/($C$21-$C$22*AH87)</f>
        <v>66.695193761134789</v>
      </c>
      <c r="BO86" s="1">
        <f>(BO87*$C$22-CU86)/($C$21-$C$22*AI87)</f>
        <v>63.598803353304717</v>
      </c>
      <c r="BP86" s="1">
        <f>(BP87*$C$22-CV86)/($C$21-$C$22*AJ87)</f>
        <v>60.515183645853163</v>
      </c>
      <c r="BQ86" s="2"/>
      <c r="BR86" s="2"/>
      <c r="BS86" s="1">
        <f t="shared" si="34"/>
        <v>-1076400000</v>
      </c>
      <c r="BT86" s="1">
        <f t="shared" si="59"/>
        <v>-1045191140.1663288</v>
      </c>
      <c r="BU86" s="1">
        <f t="shared" si="60"/>
        <v>-1014058104.8774383</v>
      </c>
      <c r="BV86" s="1">
        <f t="shared" si="61"/>
        <v>-983075827.84936166</v>
      </c>
      <c r="BW86" s="1">
        <f t="shared" si="62"/>
        <v>-952317471.67154706</v>
      </c>
      <c r="BX86" s="1">
        <f t="shared" si="63"/>
        <v>-921853568.44331264</v>
      </c>
      <c r="BY86" s="1">
        <f t="shared" si="64"/>
        <v>-891751191.49462223</v>
      </c>
      <c r="BZ86" s="1">
        <f t="shared" si="65"/>
        <v>-862073167.96535122</v>
      </c>
      <c r="CA86" s="1">
        <f t="shared" si="66"/>
        <v>-832877341.52379894</v>
      </c>
      <c r="CB86" s="1">
        <f t="shared" si="67"/>
        <v>-804215893.9006958</v>
      </c>
      <c r="CC86" s="1">
        <f t="shared" si="68"/>
        <v>-776134733.20721424</v>
      </c>
      <c r="CD86" s="1">
        <f t="shared" si="69"/>
        <v>-748672956.20365906</v>
      </c>
      <c r="CE86" s="1">
        <f t="shared" si="70"/>
        <v>-721862390.79989719</v>
      </c>
      <c r="CF86" s="1">
        <f t="shared" si="38"/>
        <v>-695727224.11041152</v>
      </c>
      <c r="CG86" s="1">
        <f t="shared" si="39"/>
        <v>-670283720.36818874</v>
      </c>
      <c r="CH86" s="1">
        <f t="shared" si="40"/>
        <v>-645540031.93517745</v>
      </c>
      <c r="CI86" s="1">
        <f t="shared" si="41"/>
        <v>-621496105.54584038</v>
      </c>
      <c r="CJ86" s="1">
        <f t="shared" si="42"/>
        <v>-598143684.7977916</v>
      </c>
      <c r="CK86" s="1">
        <f t="shared" si="43"/>
        <v>-575466408.77305913</v>
      </c>
      <c r="CL86" s="1">
        <f t="shared" si="44"/>
        <v>-553440005.54851103</v>
      </c>
      <c r="CM86" s="1">
        <f t="shared" si="45"/>
        <v>-532032578.24752313</v>
      </c>
      <c r="CN86" s="1">
        <f t="shared" si="46"/>
        <v>-511204980.20973593</v>
      </c>
      <c r="CO86" s="1">
        <f t="shared" si="47"/>
        <v>-490911274.82389611</v>
      </c>
      <c r="CP86" s="1">
        <f t="shared" si="48"/>
        <v>-471099274.59179646</v>
      </c>
      <c r="CQ86" s="1">
        <f t="shared" si="49"/>
        <v>-451711153.07994789</v>
      </c>
      <c r="CR86" s="1">
        <f t="shared" si="50"/>
        <v>-432684122.57969075</v>
      </c>
      <c r="CS86" s="1">
        <f t="shared" si="51"/>
        <v>-413951169.54492223</v>
      </c>
      <c r="CT86" s="1">
        <f t="shared" si="52"/>
        <v>-395441839.21740425</v>
      </c>
      <c r="CU86" s="1">
        <f t="shared" si="35"/>
        <v>-377083060.28960443</v>
      </c>
      <c r="CV86" s="1">
        <f t="shared" si="32"/>
        <v>-358800000</v>
      </c>
      <c r="CW86" s="2"/>
      <c r="CX86" s="2"/>
      <c r="CY86" s="1">
        <f t="shared" si="37"/>
        <v>300</v>
      </c>
      <c r="CZ86" s="1">
        <f t="shared" si="71"/>
        <v>291.30187853019197</v>
      </c>
      <c r="DA86" s="1">
        <f t="shared" si="72"/>
        <v>282.62488987665506</v>
      </c>
      <c r="DB86" s="1">
        <f t="shared" si="73"/>
        <v>273.98991857563038</v>
      </c>
      <c r="DC86" s="1">
        <f t="shared" si="74"/>
        <v>265.4173555383353</v>
      </c>
      <c r="DD86" s="1">
        <f t="shared" si="75"/>
        <v>256.92685854049967</v>
      </c>
      <c r="DE86" s="1">
        <f t="shared" si="76"/>
        <v>248.53712137531281</v>
      </c>
      <c r="DF86" s="1">
        <f t="shared" si="77"/>
        <v>240.26565439391061</v>
      </c>
      <c r="DG86" s="1">
        <f t="shared" si="78"/>
        <v>232.12857902001087</v>
      </c>
      <c r="DH86" s="1">
        <f t="shared" si="79"/>
        <v>224.14043865682717</v>
      </c>
      <c r="DI86" s="1">
        <f t="shared" si="80"/>
        <v>216.31402820713888</v>
      </c>
      <c r="DJ86" s="1">
        <f t="shared" si="81"/>
        <v>208.66024420391841</v>
      </c>
      <c r="DK86" s="1">
        <f t="shared" si="82"/>
        <v>201.18795730208956</v>
      </c>
      <c r="DL86" s="1">
        <f t="shared" si="83"/>
        <v>193.90390861494194</v>
      </c>
      <c r="DM86" s="1">
        <f t="shared" si="84"/>
        <v>186.8126310948129</v>
      </c>
      <c r="DN86" s="1">
        <f t="shared" si="85"/>
        <v>179.91639686041736</v>
      </c>
      <c r="DO86" s="1">
        <f t="shared" si="86"/>
        <v>173.21519106628773</v>
      </c>
      <c r="DP86" s="1">
        <f t="shared" si="87"/>
        <v>166.70671259693188</v>
      </c>
      <c r="DQ86" s="1">
        <f t="shared" si="88"/>
        <v>160.38640155324947</v>
      </c>
      <c r="DR86" s="1">
        <f t="shared" si="89"/>
        <v>154.24749318520378</v>
      </c>
      <c r="DS86" s="1">
        <f t="shared" si="90"/>
        <v>148.28109761636654</v>
      </c>
      <c r="DT86" s="1">
        <f t="shared" si="91"/>
        <v>142.47630440628092</v>
      </c>
      <c r="DU86" s="1">
        <f t="shared" si="92"/>
        <v>136.82031070900115</v>
      </c>
      <c r="DV86" s="1">
        <f t="shared" si="93"/>
        <v>131.29857151387864</v>
      </c>
      <c r="DW86" s="1">
        <f t="shared" si="53"/>
        <v>125.89497020065438</v>
      </c>
      <c r="DX86" s="1">
        <f t="shared" si="54"/>
        <v>120.59200740794059</v>
      </c>
      <c r="DY86" s="1">
        <f t="shared" si="55"/>
        <v>115.37100600471636</v>
      </c>
      <c r="DZ86" s="1">
        <f t="shared" si="56"/>
        <v>110.212329770737</v>
      </c>
      <c r="EA86" s="1">
        <f t="shared" si="57"/>
        <v>105.09561323567573</v>
      </c>
      <c r="EB86" s="1">
        <f t="shared" si="58"/>
        <v>100</v>
      </c>
    </row>
    <row r="87" spans="4:132">
      <c r="D87" s="2"/>
      <c r="E87" s="2"/>
      <c r="F87" s="1">
        <v>10</v>
      </c>
      <c r="G87" s="1">
        <f>$C$20/($C$21-$C$22*G88)</f>
        <v>0.39484820231404288</v>
      </c>
      <c r="H87" s="1">
        <f>$C$20/($C$21-$C$22*H88)</f>
        <v>0.39484820231404288</v>
      </c>
      <c r="I87" s="1">
        <f>$C$20/($C$21-$C$22*I88)</f>
        <v>0.39484820231404288</v>
      </c>
      <c r="J87" s="1">
        <f>$C$20/($C$21-$C$22*J88)</f>
        <v>0.39484820231404288</v>
      </c>
      <c r="K87" s="1">
        <f>$C$20/($C$21-$C$22*K88)</f>
        <v>0.39484820231404288</v>
      </c>
      <c r="L87" s="1">
        <f>$C$20/($C$21-$C$22*L88)</f>
        <v>0.39484820231404288</v>
      </c>
      <c r="M87" s="1">
        <f>$C$20/($C$21-$C$22*M88)</f>
        <v>0.39484820231404288</v>
      </c>
      <c r="N87" s="1">
        <f>$C$20/($C$21-$C$22*N88)</f>
        <v>0.39484820231404288</v>
      </c>
      <c r="O87" s="1">
        <f>$C$20/($C$21-$C$22*O88)</f>
        <v>0.39484820231404288</v>
      </c>
      <c r="P87" s="1">
        <f>$C$20/($C$21-$C$22*P88)</f>
        <v>0.39484820231404288</v>
      </c>
      <c r="Q87" s="1">
        <f>$C$20/($C$21-$C$22*Q88)</f>
        <v>0.39484820231404288</v>
      </c>
      <c r="R87" s="1">
        <f>$C$20/($C$21-$C$22*R88)</f>
        <v>0.39484820231404288</v>
      </c>
      <c r="S87" s="1">
        <f>$C$20/($C$21-$C$22*S88)</f>
        <v>0.39484820231404288</v>
      </c>
      <c r="T87" s="1">
        <f>$C$20/($C$21-$C$22*T88)</f>
        <v>0.39484820231404288</v>
      </c>
      <c r="U87" s="1">
        <f>$C$20/($C$21-$C$22*U88)</f>
        <v>0.39484820231404288</v>
      </c>
      <c r="V87" s="1">
        <f>$C$20/($C$21-$C$22*V88)</f>
        <v>0.39484820231404288</v>
      </c>
      <c r="W87" s="1">
        <f>$C$20/($C$21-$C$22*W88)</f>
        <v>0.39484820231404288</v>
      </c>
      <c r="X87" s="1">
        <f>$C$20/($C$21-$C$22*X88)</f>
        <v>0.39484820231404288</v>
      </c>
      <c r="Y87" s="1">
        <f>$C$20/($C$21-$C$22*Y88)</f>
        <v>0.39484820231404288</v>
      </c>
      <c r="Z87" s="1">
        <f>$C$20/($C$21-$C$22*Z88)</f>
        <v>0.39484820231404288</v>
      </c>
      <c r="AA87" s="1">
        <f>$C$20/($C$21-$C$22*AA88)</f>
        <v>0.39484820231404288</v>
      </c>
      <c r="AB87" s="1">
        <f>$C$20/($C$21-$C$22*AB88)</f>
        <v>0.39484820231404288</v>
      </c>
      <c r="AC87" s="1">
        <f>$C$20/($C$21-$C$22*AC88)</f>
        <v>0.39484820231404288</v>
      </c>
      <c r="AD87" s="1">
        <f>$C$20/($C$21-$C$22*AD88)</f>
        <v>0.39484820231404288</v>
      </c>
      <c r="AE87" s="1">
        <f>$C$20/($C$21-$C$22*AE88)</f>
        <v>0.39484820231404288</v>
      </c>
      <c r="AF87" s="1">
        <f>$C$20/($C$21-$C$22*AF88)</f>
        <v>0.39484820231404288</v>
      </c>
      <c r="AG87" s="1">
        <f>$C$20/($C$21-$C$22*AG88)</f>
        <v>0.39484820231404288</v>
      </c>
      <c r="AH87" s="1">
        <f>$C$20/($C$21-$C$22*AH88)</f>
        <v>0.39484820231404288</v>
      </c>
      <c r="AI87" s="1">
        <f>$C$20/($C$21-$C$22*AI88)</f>
        <v>0.39484820231404288</v>
      </c>
      <c r="AJ87" s="1">
        <f>$C$20/($C$21-$C$22*AJ88)</f>
        <v>0.39484820231404288</v>
      </c>
      <c r="AK87" s="2"/>
      <c r="AL87" s="2"/>
      <c r="AM87" s="1">
        <f>(AM88*$C$22-BS87)/($C$21-$C$22*G88)</f>
        <v>181.54553930578717</v>
      </c>
      <c r="AN87" s="1">
        <f>(AN88*$C$22-BT87)/($C$21-$C$22*H88)</f>
        <v>176.28185546184201</v>
      </c>
      <c r="AO87" s="1">
        <f>(AO88*$C$22-BU87)/($C$21-$C$22*I88)</f>
        <v>171.03096017965348</v>
      </c>
      <c r="AP87" s="1">
        <f>(AP88*$C$22-BV87)/($C$21-$C$22*J88)</f>
        <v>165.80549177387172</v>
      </c>
      <c r="AQ87" s="1">
        <f>(AQ88*$C$22-BW87)/($C$21-$C$22*K88)</f>
        <v>160.61778984107642</v>
      </c>
      <c r="AR87" s="1">
        <f>(AR88*$C$22-BX87)/($C$21-$C$22*L88)</f>
        <v>155.47975031958896</v>
      </c>
      <c r="AS87" s="1">
        <f>(AS88*$C$22-BY87)/($C$21-$C$22*M88)</f>
        <v>150.40268579196342</v>
      </c>
      <c r="AT87" s="1">
        <f>(AT88*$C$22-BZ87)/($C$21-$C$22*N88)</f>
        <v>145.39719267866789</v>
      </c>
      <c r="AU87" s="1">
        <f>(AU88*$C$22-CA87)/($C$21-$C$22*O88)</f>
        <v>140.4730268882463</v>
      </c>
      <c r="AV87" s="1">
        <f>(AV88*$C$22-CB87)/($C$21-$C$22*P88)</f>
        <v>135.63898938729795</v>
      </c>
      <c r="AW87" s="1">
        <f>(AW88*$C$22-CC87)/($C$21-$C$22*Q88)</f>
        <v>130.90282303424092</v>
      </c>
      <c r="AX87" s="1">
        <f>(AX88*$C$22-CD87)/($C$21-$C$22*R88)</f>
        <v>126.27112188559201</v>
      </c>
      <c r="AY87" s="1">
        <f>(AY88*$C$22-CE87)/($C$21-$C$22*S88)</f>
        <v>121.74925403412506</v>
      </c>
      <c r="AZ87" s="1">
        <f>(AZ88*$C$22-CF87)/($C$21-$C$22*T88)</f>
        <v>117.34129887666563</v>
      </c>
      <c r="BA87" s="1">
        <f>(BA88*$C$22-CG87)/($C$21-$C$22*U88)</f>
        <v>113.04999953746957</v>
      </c>
      <c r="BB87" s="1">
        <f>(BB88*$C$22-CH87)/($C$21-$C$22*V88)</f>
        <v>108.87673099326166</v>
      </c>
      <c r="BC87" s="1">
        <f>(BC88*$C$22-CI87)/($C$21-$C$22*W88)</f>
        <v>104.82148426028056</v>
      </c>
      <c r="BD87" s="1">
        <f>(BD88*$C$22-CJ87)/($C$21-$C$22*X88)</f>
        <v>100.88286681434953</v>
      </c>
      <c r="BE87" s="1">
        <f>(BE88*$C$22-CK87)/($C$21-$C$22*Y88)</f>
        <v>97.05811922433071</v>
      </c>
      <c r="BF87" s="1">
        <f>(BF88*$C$22-CL87)/($C$21-$C$22*Z88)</f>
        <v>93.343147789578481</v>
      </c>
      <c r="BG87" s="1">
        <f>(BG88*$C$22-CM87)/($C$21-$C$22*AA88)</f>
        <v>89.732572785391113</v>
      </c>
      <c r="BH87" s="1">
        <f>(BH88*$C$22-CN87)/($C$21-$C$22*AB88)</f>
        <v>86.219791739112566</v>
      </c>
      <c r="BI87" s="1">
        <f>(BI88*$C$22-CO87)/($C$21-$C$22*AC88)</f>
        <v>82.797056985503261</v>
      </c>
      <c r="BJ87" s="1">
        <f>(BJ88*$C$22-CP87)/($C$21-$C$22*AD88)</f>
        <v>79.455566585221845</v>
      </c>
      <c r="BK87" s="1">
        <f>(BK88*$C$22-CQ87)/($C$21-$C$22*AE88)</f>
        <v>76.185567536546003</v>
      </c>
      <c r="BL87" s="1">
        <f>(BL88*$C$22-CR87)/($C$21-$C$22*AF88)</f>
        <v>72.976470069473493</v>
      </c>
      <c r="BM87" s="1">
        <f>(BM88*$C$22-CS87)/($C$21-$C$22*AG88)</f>
        <v>69.816971684591465</v>
      </c>
      <c r="BN87" s="1">
        <f>(BN88*$C$22-CT87)/($C$21-$C$22*AH88)</f>
        <v>66.695189487919023</v>
      </c>
      <c r="BO87" s="1">
        <f>(BO88*$C$22-CU87)/($C$21-$C$22*AI88)</f>
        <v>63.598799278477223</v>
      </c>
      <c r="BP87" s="1">
        <f>(BP88*$C$22-CV87)/($C$21-$C$22*AJ88)</f>
        <v>60.515179768595715</v>
      </c>
      <c r="BQ87" s="2"/>
      <c r="BR87" s="2"/>
      <c r="BS87" s="1">
        <f t="shared" si="34"/>
        <v>-1076400000</v>
      </c>
      <c r="BT87" s="1">
        <f t="shared" si="59"/>
        <v>-1045191140.1663288</v>
      </c>
      <c r="BU87" s="1">
        <f t="shared" si="60"/>
        <v>-1014058104.8774383</v>
      </c>
      <c r="BV87" s="1">
        <f t="shared" si="61"/>
        <v>-983075827.84936166</v>
      </c>
      <c r="BW87" s="1">
        <f t="shared" si="62"/>
        <v>-952317471.67154706</v>
      </c>
      <c r="BX87" s="1">
        <f t="shared" si="63"/>
        <v>-921853568.44331264</v>
      </c>
      <c r="BY87" s="1">
        <f t="shared" si="64"/>
        <v>-891751191.49462223</v>
      </c>
      <c r="BZ87" s="1">
        <f t="shared" si="65"/>
        <v>-862073167.96535122</v>
      </c>
      <c r="CA87" s="1">
        <f t="shared" si="66"/>
        <v>-832877341.52379894</v>
      </c>
      <c r="CB87" s="1">
        <f t="shared" si="67"/>
        <v>-804215893.9006958</v>
      </c>
      <c r="CC87" s="1">
        <f t="shared" si="68"/>
        <v>-776134733.20721424</v>
      </c>
      <c r="CD87" s="1">
        <f t="shared" si="69"/>
        <v>-748672956.20365906</v>
      </c>
      <c r="CE87" s="1">
        <f t="shared" si="70"/>
        <v>-721862390.79989719</v>
      </c>
      <c r="CF87" s="1">
        <f t="shared" si="38"/>
        <v>-695727224.11041152</v>
      </c>
      <c r="CG87" s="1">
        <f t="shared" si="39"/>
        <v>-670283720.36818874</v>
      </c>
      <c r="CH87" s="1">
        <f t="shared" si="40"/>
        <v>-645540031.93517745</v>
      </c>
      <c r="CI87" s="1">
        <f t="shared" si="41"/>
        <v>-621496105.54584038</v>
      </c>
      <c r="CJ87" s="1">
        <f t="shared" si="42"/>
        <v>-598143684.7977916</v>
      </c>
      <c r="CK87" s="1">
        <f t="shared" si="43"/>
        <v>-575466408.77305913</v>
      </c>
      <c r="CL87" s="1">
        <f t="shared" si="44"/>
        <v>-553440005.54851103</v>
      </c>
      <c r="CM87" s="1">
        <f t="shared" si="45"/>
        <v>-532032578.24752313</v>
      </c>
      <c r="CN87" s="1">
        <f t="shared" si="46"/>
        <v>-511204980.20973593</v>
      </c>
      <c r="CO87" s="1">
        <f t="shared" si="47"/>
        <v>-490911274.82389611</v>
      </c>
      <c r="CP87" s="1">
        <f t="shared" si="48"/>
        <v>-471099274.59179646</v>
      </c>
      <c r="CQ87" s="1">
        <f t="shared" si="49"/>
        <v>-451711153.07994789</v>
      </c>
      <c r="CR87" s="1">
        <f t="shared" si="50"/>
        <v>-432684122.57969075</v>
      </c>
      <c r="CS87" s="1">
        <f t="shared" si="51"/>
        <v>-413951169.54492223</v>
      </c>
      <c r="CT87" s="1">
        <f t="shared" si="52"/>
        <v>-395441839.21740425</v>
      </c>
      <c r="CU87" s="1">
        <f t="shared" si="35"/>
        <v>-377083060.28960443</v>
      </c>
      <c r="CV87" s="1">
        <f t="shared" si="32"/>
        <v>-358800000</v>
      </c>
      <c r="CW87" s="2"/>
      <c r="CX87" s="2"/>
      <c r="CY87" s="1">
        <f t="shared" si="37"/>
        <v>300.00000000000006</v>
      </c>
      <c r="CZ87" s="1">
        <f t="shared" si="71"/>
        <v>291.30187853019197</v>
      </c>
      <c r="DA87" s="1">
        <f t="shared" si="72"/>
        <v>282.62488987665506</v>
      </c>
      <c r="DB87" s="1">
        <f t="shared" si="73"/>
        <v>273.98991857563038</v>
      </c>
      <c r="DC87" s="1">
        <f t="shared" si="74"/>
        <v>265.4173555383353</v>
      </c>
      <c r="DD87" s="1">
        <f t="shared" si="75"/>
        <v>256.92685854049967</v>
      </c>
      <c r="DE87" s="1">
        <f t="shared" si="76"/>
        <v>248.53712137531278</v>
      </c>
      <c r="DF87" s="1">
        <f t="shared" si="77"/>
        <v>240.26565439391061</v>
      </c>
      <c r="DG87" s="1">
        <f t="shared" si="78"/>
        <v>232.12857902001085</v>
      </c>
      <c r="DH87" s="1">
        <f t="shared" si="79"/>
        <v>224.14043865682717</v>
      </c>
      <c r="DI87" s="1">
        <f t="shared" si="80"/>
        <v>216.31402820713888</v>
      </c>
      <c r="DJ87" s="1">
        <f t="shared" si="81"/>
        <v>208.66024420391838</v>
      </c>
      <c r="DK87" s="1">
        <f t="shared" si="82"/>
        <v>201.18795730208956</v>
      </c>
      <c r="DL87" s="1">
        <f t="shared" si="83"/>
        <v>193.90390861494191</v>
      </c>
      <c r="DM87" s="1">
        <f t="shared" si="84"/>
        <v>186.8126310948129</v>
      </c>
      <c r="DN87" s="1">
        <f t="shared" si="85"/>
        <v>179.91639686041736</v>
      </c>
      <c r="DO87" s="1">
        <f t="shared" si="86"/>
        <v>173.21519106628773</v>
      </c>
      <c r="DP87" s="1">
        <f t="shared" si="87"/>
        <v>166.70671259693188</v>
      </c>
      <c r="DQ87" s="1">
        <f t="shared" si="88"/>
        <v>160.38640155324947</v>
      </c>
      <c r="DR87" s="1">
        <f t="shared" si="89"/>
        <v>154.24749318520378</v>
      </c>
      <c r="DS87" s="1">
        <f t="shared" si="90"/>
        <v>148.28109761636654</v>
      </c>
      <c r="DT87" s="1">
        <f t="shared" si="91"/>
        <v>142.47630440628092</v>
      </c>
      <c r="DU87" s="1">
        <f t="shared" si="92"/>
        <v>136.82031070900115</v>
      </c>
      <c r="DV87" s="1">
        <f t="shared" si="93"/>
        <v>131.29857151387864</v>
      </c>
      <c r="DW87" s="1">
        <f t="shared" si="53"/>
        <v>125.89497020065438</v>
      </c>
      <c r="DX87" s="1">
        <f t="shared" si="54"/>
        <v>120.59200740794057</v>
      </c>
      <c r="DY87" s="1">
        <f t="shared" si="55"/>
        <v>115.37100600471638</v>
      </c>
      <c r="DZ87" s="1">
        <f t="shared" si="56"/>
        <v>110.212329770737</v>
      </c>
      <c r="EA87" s="1">
        <f t="shared" si="57"/>
        <v>105.09561323567571</v>
      </c>
      <c r="EB87" s="1">
        <f t="shared" si="58"/>
        <v>100</v>
      </c>
    </row>
    <row r="88" spans="4:132">
      <c r="D88" s="2"/>
      <c r="E88" s="2"/>
      <c r="F88" s="1">
        <v>9</v>
      </c>
      <c r="G88" s="1">
        <f>$C$20/($C$21-$C$22*G89)</f>
        <v>0.39484845100749483</v>
      </c>
      <c r="H88" s="1">
        <f>$C$20/($C$21-$C$22*H89)</f>
        <v>0.39484845100749483</v>
      </c>
      <c r="I88" s="1">
        <f>$C$20/($C$21-$C$22*I89)</f>
        <v>0.39484845100749483</v>
      </c>
      <c r="J88" s="1">
        <f>$C$20/($C$21-$C$22*J89)</f>
        <v>0.39484845100749483</v>
      </c>
      <c r="K88" s="1">
        <f>$C$20/($C$21-$C$22*K89)</f>
        <v>0.39484845100749483</v>
      </c>
      <c r="L88" s="1">
        <f>$C$20/($C$21-$C$22*L89)</f>
        <v>0.39484845100749483</v>
      </c>
      <c r="M88" s="1">
        <f>$C$20/($C$21-$C$22*M89)</f>
        <v>0.39484845100749483</v>
      </c>
      <c r="N88" s="1">
        <f>$C$20/($C$21-$C$22*N89)</f>
        <v>0.39484845100749483</v>
      </c>
      <c r="O88" s="1">
        <f>$C$20/($C$21-$C$22*O89)</f>
        <v>0.39484845100749483</v>
      </c>
      <c r="P88" s="1">
        <f>$C$20/($C$21-$C$22*P89)</f>
        <v>0.39484845100749483</v>
      </c>
      <c r="Q88" s="1">
        <f>$C$20/($C$21-$C$22*Q89)</f>
        <v>0.39484845100749483</v>
      </c>
      <c r="R88" s="1">
        <f>$C$20/($C$21-$C$22*R89)</f>
        <v>0.39484845100749483</v>
      </c>
      <c r="S88" s="1">
        <f>$C$20/($C$21-$C$22*S89)</f>
        <v>0.39484845100749483</v>
      </c>
      <c r="T88" s="1">
        <f>$C$20/($C$21-$C$22*T89)</f>
        <v>0.39484845100749483</v>
      </c>
      <c r="U88" s="1">
        <f>$C$20/($C$21-$C$22*U89)</f>
        <v>0.39484845100749483</v>
      </c>
      <c r="V88" s="1">
        <f>$C$20/($C$21-$C$22*V89)</f>
        <v>0.39484845100749483</v>
      </c>
      <c r="W88" s="1">
        <f>$C$20/($C$21-$C$22*W89)</f>
        <v>0.39484845100749483</v>
      </c>
      <c r="X88" s="1">
        <f>$C$20/($C$21-$C$22*X89)</f>
        <v>0.39484845100749483</v>
      </c>
      <c r="Y88" s="1">
        <f>$C$20/($C$21-$C$22*Y89)</f>
        <v>0.39484845100749483</v>
      </c>
      <c r="Z88" s="1">
        <f>$C$20/($C$21-$C$22*Z89)</f>
        <v>0.39484845100749483</v>
      </c>
      <c r="AA88" s="1">
        <f>$C$20/($C$21-$C$22*AA89)</f>
        <v>0.39484845100749483</v>
      </c>
      <c r="AB88" s="1">
        <f>$C$20/($C$21-$C$22*AB89)</f>
        <v>0.39484845100749483</v>
      </c>
      <c r="AC88" s="1">
        <f>$C$20/($C$21-$C$22*AC89)</f>
        <v>0.39484845100749483</v>
      </c>
      <c r="AD88" s="1">
        <f>$C$20/($C$21-$C$22*AD89)</f>
        <v>0.39484845100749483</v>
      </c>
      <c r="AE88" s="1">
        <f>$C$20/($C$21-$C$22*AE89)</f>
        <v>0.39484845100749483</v>
      </c>
      <c r="AF88" s="1">
        <f>$C$20/($C$21-$C$22*AF89)</f>
        <v>0.39484845100749483</v>
      </c>
      <c r="AG88" s="1">
        <f>$C$20/($C$21-$C$22*AG89)</f>
        <v>0.39484845100749483</v>
      </c>
      <c r="AH88" s="1">
        <f>$C$20/($C$21-$C$22*AH89)</f>
        <v>0.39484845100749483</v>
      </c>
      <c r="AI88" s="1">
        <f>$C$20/($C$21-$C$22*AI89)</f>
        <v>0.39484845100749483</v>
      </c>
      <c r="AJ88" s="1">
        <f>$C$20/($C$21-$C$22*AJ89)</f>
        <v>0.39484845100749483</v>
      </c>
      <c r="AK88" s="2"/>
      <c r="AL88" s="2"/>
      <c r="AM88" s="1">
        <f>(AM89*$C$22-BS88)/($C$21-$C$22*G89)</f>
        <v>181.54546469775156</v>
      </c>
      <c r="AN88" s="1">
        <f>(AN89*$C$22-BT88)/($C$21-$C$22*H89)</f>
        <v>176.28178301697227</v>
      </c>
      <c r="AO88" s="1">
        <f>(AO89*$C$22-BU88)/($C$21-$C$22*I89)</f>
        <v>171.03088989269398</v>
      </c>
      <c r="AP88" s="1">
        <f>(AP89*$C$22-BV88)/($C$21-$C$22*J89)</f>
        <v>165.80542363437303</v>
      </c>
      <c r="AQ88" s="1">
        <f>(AQ89*$C$22-BW88)/($C$21-$C$22*K89)</f>
        <v>160.617723833518</v>
      </c>
      <c r="AR88" s="1">
        <f>(AR89*$C$22-BX88)/($C$21-$C$22*L89)</f>
        <v>155.47968642356156</v>
      </c>
      <c r="AS88" s="1">
        <f>(AS89*$C$22-BY88)/($C$21-$C$22*M89)</f>
        <v>150.40262398240876</v>
      </c>
      <c r="AT88" s="1">
        <f>(AT89*$C$22-BZ88)/($C$21-$C$22*N89)</f>
        <v>145.39713292617287</v>
      </c>
      <c r="AU88" s="1">
        <f>(AU89*$C$22-CA88)/($C$21-$C$22*O89)</f>
        <v>140.47296915938867</v>
      </c>
      <c r="AV88" s="1">
        <f>(AV89*$C$22-CB88)/($C$21-$C$22*P89)</f>
        <v>135.63893364503849</v>
      </c>
      <c r="AW88" s="1">
        <f>(AW89*$C$22-CC88)/($C$21-$C$22*Q89)</f>
        <v>130.90276923835847</v>
      </c>
      <c r="AX88" s="1">
        <f>(AX89*$C$22-CD88)/($C$21-$C$22*R89)</f>
        <v>126.27106999315554</v>
      </c>
      <c r="AY88" s="1">
        <f>(AY89*$C$22-CE88)/($C$21-$C$22*S89)</f>
        <v>121.74920399999743</v>
      </c>
      <c r="AZ88" s="1">
        <f>(AZ89*$C$22-CF88)/($C$21-$C$22*T89)</f>
        <v>117.3412506540332</v>
      </c>
      <c r="BA88" s="1">
        <f>(BA89*$C$22-CG88)/($C$21-$C$22*U89)</f>
        <v>113.04995307839144</v>
      </c>
      <c r="BB88" s="1">
        <f>(BB89*$C$22-CH88)/($C$21-$C$22*V89)</f>
        <v>108.87668624923182</v>
      </c>
      <c r="BC88" s="1">
        <f>(BC89*$C$22-CI88)/($C$21-$C$22*W89)</f>
        <v>104.82144118279672</v>
      </c>
      <c r="BD88" s="1">
        <f>(BD89*$C$22-CJ88)/($C$21-$C$22*X89)</f>
        <v>100.88282535548167</v>
      </c>
      <c r="BE88" s="1">
        <f>(BE89*$C$22-CK88)/($C$21-$C$22*Y89)</f>
        <v>97.058079337282834</v>
      </c>
      <c r="BF88" s="1">
        <f>(BF89*$C$22-CL88)/($C$21-$C$22*Z89)</f>
        <v>93.343109429236918</v>
      </c>
      <c r="BG88" s="1">
        <f>(BG89*$C$22-CM88)/($C$21-$C$22*AA89)</f>
        <v>89.732535908853066</v>
      </c>
      <c r="BH88" s="1">
        <f>(BH89*$C$22-CN88)/($C$21-$C$22*AB89)</f>
        <v>86.219756306188572</v>
      </c>
      <c r="BI88" s="1">
        <f>(BI89*$C$22-CO88)/($C$21-$C$22*AC89)</f>
        <v>82.797022959187871</v>
      </c>
      <c r="BJ88" s="1">
        <f>(BJ89*$C$22-CP88)/($C$21-$C$22*AD89)</f>
        <v>79.455533932126855</v>
      </c>
      <c r="BK88" s="1">
        <f>(BK89*$C$22-CQ88)/($C$21-$C$22*AE89)</f>
        <v>76.18553622729128</v>
      </c>
      <c r="BL88" s="1">
        <f>(BL89*$C$22-CR88)/($C$21-$C$22*AF89)</f>
        <v>72.976440079030894</v>
      </c>
      <c r="BM88" s="1">
        <f>(BM89*$C$22-CS88)/($C$21-$C$22*AG89)</f>
        <v>69.816942992577708</v>
      </c>
      <c r="BN88" s="1">
        <f>(BN89*$C$22-CT88)/($C$21-$C$22*AH89)</f>
        <v>66.695162078834272</v>
      </c>
      <c r="BO88" s="1">
        <f>(BO89*$C$22-CU88)/($C$21-$C$22*AI89)</f>
        <v>63.598773141886383</v>
      </c>
      <c r="BP88" s="1">
        <f>(BP89*$C$22-CV88)/($C$21-$C$22*AJ89)</f>
        <v>60.515154899250518</v>
      </c>
      <c r="BQ88" s="2"/>
      <c r="BR88" s="2"/>
      <c r="BS88" s="1">
        <f t="shared" si="34"/>
        <v>-1076400000</v>
      </c>
      <c r="BT88" s="1">
        <f t="shared" si="59"/>
        <v>-1045191140.1663288</v>
      </c>
      <c r="BU88" s="1">
        <f t="shared" si="60"/>
        <v>-1014058104.8774382</v>
      </c>
      <c r="BV88" s="1">
        <f t="shared" si="61"/>
        <v>-983075827.84936142</v>
      </c>
      <c r="BW88" s="1">
        <f t="shared" si="62"/>
        <v>-952317471.6715467</v>
      </c>
      <c r="BX88" s="1">
        <f t="shared" si="63"/>
        <v>-921853568.44331241</v>
      </c>
      <c r="BY88" s="1">
        <f t="shared" si="64"/>
        <v>-891751191.49462199</v>
      </c>
      <c r="BZ88" s="1">
        <f t="shared" si="65"/>
        <v>-862073167.9653511</v>
      </c>
      <c r="CA88" s="1">
        <f t="shared" si="66"/>
        <v>-832877341.5237987</v>
      </c>
      <c r="CB88" s="1">
        <f t="shared" si="67"/>
        <v>-804215893.90069556</v>
      </c>
      <c r="CC88" s="1">
        <f t="shared" si="68"/>
        <v>-776134733.207214</v>
      </c>
      <c r="CD88" s="1">
        <f t="shared" si="69"/>
        <v>-748672956.2036587</v>
      </c>
      <c r="CE88" s="1">
        <f t="shared" si="70"/>
        <v>-721862390.79989696</v>
      </c>
      <c r="CF88" s="1">
        <f t="shared" si="38"/>
        <v>-695727224.11041117</v>
      </c>
      <c r="CG88" s="1">
        <f t="shared" si="39"/>
        <v>-670283720.3681885</v>
      </c>
      <c r="CH88" s="1">
        <f t="shared" si="40"/>
        <v>-645540031.93517733</v>
      </c>
      <c r="CI88" s="1">
        <f t="shared" si="41"/>
        <v>-621496105.54584014</v>
      </c>
      <c r="CJ88" s="1">
        <f t="shared" si="42"/>
        <v>-598143684.79779136</v>
      </c>
      <c r="CK88" s="1">
        <f t="shared" si="43"/>
        <v>-575466408.77305901</v>
      </c>
      <c r="CL88" s="1">
        <f t="shared" si="44"/>
        <v>-553440005.54851091</v>
      </c>
      <c r="CM88" s="1">
        <f t="shared" si="45"/>
        <v>-532032578.24752313</v>
      </c>
      <c r="CN88" s="1">
        <f t="shared" si="46"/>
        <v>-511204980.20973593</v>
      </c>
      <c r="CO88" s="1">
        <f t="shared" si="47"/>
        <v>-490911274.82389611</v>
      </c>
      <c r="CP88" s="1">
        <f t="shared" si="48"/>
        <v>-471099274.59179646</v>
      </c>
      <c r="CQ88" s="1">
        <f t="shared" si="49"/>
        <v>-451711153.07994789</v>
      </c>
      <c r="CR88" s="1">
        <f t="shared" si="50"/>
        <v>-432684122.57969075</v>
      </c>
      <c r="CS88" s="1">
        <f t="shared" si="51"/>
        <v>-413951169.54492223</v>
      </c>
      <c r="CT88" s="1">
        <f t="shared" si="52"/>
        <v>-395441839.21740425</v>
      </c>
      <c r="CU88" s="1">
        <f t="shared" si="35"/>
        <v>-377083060.28960443</v>
      </c>
      <c r="CV88" s="1">
        <f t="shared" si="32"/>
        <v>-358800000</v>
      </c>
      <c r="CW88" s="2"/>
      <c r="CX88" s="2"/>
      <c r="CY88" s="1">
        <f t="shared" si="37"/>
        <v>300</v>
      </c>
      <c r="CZ88" s="1">
        <f t="shared" si="71"/>
        <v>291.30187853019197</v>
      </c>
      <c r="DA88" s="1">
        <f t="shared" si="72"/>
        <v>282.62488987665506</v>
      </c>
      <c r="DB88" s="1">
        <f t="shared" si="73"/>
        <v>273.98991857563033</v>
      </c>
      <c r="DC88" s="1">
        <f t="shared" si="74"/>
        <v>265.41735553833519</v>
      </c>
      <c r="DD88" s="1">
        <f t="shared" si="75"/>
        <v>256.92685854049961</v>
      </c>
      <c r="DE88" s="1">
        <f t="shared" si="76"/>
        <v>248.53712137531272</v>
      </c>
      <c r="DF88" s="1">
        <f t="shared" si="77"/>
        <v>240.26565439391055</v>
      </c>
      <c r="DG88" s="1">
        <f t="shared" si="78"/>
        <v>232.12857902001082</v>
      </c>
      <c r="DH88" s="1">
        <f t="shared" si="79"/>
        <v>224.14043865682711</v>
      </c>
      <c r="DI88" s="1">
        <f t="shared" si="80"/>
        <v>216.31402820713879</v>
      </c>
      <c r="DJ88" s="1">
        <f t="shared" si="81"/>
        <v>208.6602442039183</v>
      </c>
      <c r="DK88" s="1">
        <f t="shared" si="82"/>
        <v>201.1879573020895</v>
      </c>
      <c r="DL88" s="1">
        <f t="shared" si="83"/>
        <v>193.90390861494186</v>
      </c>
      <c r="DM88" s="1">
        <f t="shared" si="84"/>
        <v>186.81263109481287</v>
      </c>
      <c r="DN88" s="1">
        <f t="shared" si="85"/>
        <v>179.91639686041731</v>
      </c>
      <c r="DO88" s="1">
        <f t="shared" si="86"/>
        <v>173.21519106628767</v>
      </c>
      <c r="DP88" s="1">
        <f t="shared" si="87"/>
        <v>166.70671259693185</v>
      </c>
      <c r="DQ88" s="1">
        <f t="shared" si="88"/>
        <v>160.38640155324944</v>
      </c>
      <c r="DR88" s="1">
        <f t="shared" si="89"/>
        <v>154.24749318520375</v>
      </c>
      <c r="DS88" s="1">
        <f t="shared" si="90"/>
        <v>148.28109761636654</v>
      </c>
      <c r="DT88" s="1">
        <f t="shared" si="91"/>
        <v>142.47630440628092</v>
      </c>
      <c r="DU88" s="1">
        <f t="shared" si="92"/>
        <v>136.82031070900112</v>
      </c>
      <c r="DV88" s="1">
        <f t="shared" si="93"/>
        <v>131.29857151387861</v>
      </c>
      <c r="DW88" s="1">
        <f t="shared" si="53"/>
        <v>125.89497020065438</v>
      </c>
      <c r="DX88" s="1">
        <f t="shared" si="54"/>
        <v>120.59200740794057</v>
      </c>
      <c r="DY88" s="1">
        <f t="shared" si="55"/>
        <v>115.37100600471635</v>
      </c>
      <c r="DZ88" s="1">
        <f t="shared" si="56"/>
        <v>110.21232977073699</v>
      </c>
      <c r="EA88" s="1">
        <f t="shared" si="57"/>
        <v>105.0956132356757</v>
      </c>
      <c r="EB88" s="1">
        <f t="shared" si="58"/>
        <v>100</v>
      </c>
    </row>
    <row r="89" spans="4:132">
      <c r="D89" s="2"/>
      <c r="E89" s="2"/>
      <c r="F89" s="1">
        <v>8</v>
      </c>
      <c r="G89" s="1">
        <f>$C$20/($C$21-$C$22*G90)</f>
        <v>0.39485004616564395</v>
      </c>
      <c r="H89" s="1">
        <f>$C$20/($C$21-$C$22*H90)</f>
        <v>0.39485004616564395</v>
      </c>
      <c r="I89" s="1">
        <f>$C$20/($C$21-$C$22*I90)</f>
        <v>0.39485004616564395</v>
      </c>
      <c r="J89" s="1">
        <f>$C$20/($C$21-$C$22*J90)</f>
        <v>0.39485004616564395</v>
      </c>
      <c r="K89" s="1">
        <f>$C$20/($C$21-$C$22*K90)</f>
        <v>0.39485004616564395</v>
      </c>
      <c r="L89" s="1">
        <f>$C$20/($C$21-$C$22*L90)</f>
        <v>0.39485004616564395</v>
      </c>
      <c r="M89" s="1">
        <f>$C$20/($C$21-$C$22*M90)</f>
        <v>0.39485004616564395</v>
      </c>
      <c r="N89" s="1">
        <f>$C$20/($C$21-$C$22*N90)</f>
        <v>0.39485004616564395</v>
      </c>
      <c r="O89" s="1">
        <f>$C$20/($C$21-$C$22*O90)</f>
        <v>0.39485004616564395</v>
      </c>
      <c r="P89" s="1">
        <f>$C$20/($C$21-$C$22*P90)</f>
        <v>0.39485004616564395</v>
      </c>
      <c r="Q89" s="1">
        <f>$C$20/($C$21-$C$22*Q90)</f>
        <v>0.39485004616564395</v>
      </c>
      <c r="R89" s="1">
        <f>$C$20/($C$21-$C$22*R90)</f>
        <v>0.39485004616564395</v>
      </c>
      <c r="S89" s="1">
        <f>$C$20/($C$21-$C$22*S90)</f>
        <v>0.39485004616564395</v>
      </c>
      <c r="T89" s="1">
        <f>$C$20/($C$21-$C$22*T90)</f>
        <v>0.39485004616564395</v>
      </c>
      <c r="U89" s="1">
        <f>$C$20/($C$21-$C$22*U90)</f>
        <v>0.39485004616564395</v>
      </c>
      <c r="V89" s="1">
        <f>$C$20/($C$21-$C$22*V90)</f>
        <v>0.39485004616564395</v>
      </c>
      <c r="W89" s="1">
        <f>$C$20/($C$21-$C$22*W90)</f>
        <v>0.39485004616564395</v>
      </c>
      <c r="X89" s="1">
        <f>$C$20/($C$21-$C$22*X90)</f>
        <v>0.39485004616564395</v>
      </c>
      <c r="Y89" s="1">
        <f>$C$20/($C$21-$C$22*Y90)</f>
        <v>0.39485004616564395</v>
      </c>
      <c r="Z89" s="1">
        <f>$C$20/($C$21-$C$22*Z90)</f>
        <v>0.39485004616564395</v>
      </c>
      <c r="AA89" s="1">
        <f>$C$20/($C$21-$C$22*AA90)</f>
        <v>0.39485004616564395</v>
      </c>
      <c r="AB89" s="1">
        <f>$C$20/($C$21-$C$22*AB90)</f>
        <v>0.39485004616564395</v>
      </c>
      <c r="AC89" s="1">
        <f>$C$20/($C$21-$C$22*AC90)</f>
        <v>0.39485004616564395</v>
      </c>
      <c r="AD89" s="1">
        <f>$C$20/($C$21-$C$22*AD90)</f>
        <v>0.39485004616564395</v>
      </c>
      <c r="AE89" s="1">
        <f>$C$20/($C$21-$C$22*AE90)</f>
        <v>0.39485004616564395</v>
      </c>
      <c r="AF89" s="1">
        <f>$C$20/($C$21-$C$22*AF90)</f>
        <v>0.39485004616564395</v>
      </c>
      <c r="AG89" s="1">
        <f>$C$20/($C$21-$C$22*AG90)</f>
        <v>0.39485004616564395</v>
      </c>
      <c r="AH89" s="1">
        <f>$C$20/($C$21-$C$22*AH90)</f>
        <v>0.39485004616564395</v>
      </c>
      <c r="AI89" s="1">
        <f>$C$20/($C$21-$C$22*AI90)</f>
        <v>0.39485004616564395</v>
      </c>
      <c r="AJ89" s="1">
        <f>$C$20/($C$21-$C$22*AJ90)</f>
        <v>0.39485004616564395</v>
      </c>
      <c r="AK89" s="2"/>
      <c r="AL89" s="2"/>
      <c r="AM89" s="1">
        <f>(AM90*$C$22-BS89)/($C$21-$C$22*G90)</f>
        <v>181.54498615030681</v>
      </c>
      <c r="AN89" s="1">
        <f>(AN90*$C$22-BT89)/($C$21-$C$22*H90)</f>
        <v>176.28131834440688</v>
      </c>
      <c r="AO89" s="1">
        <f>(AO90*$C$22-BU89)/($C$21-$C$22*I90)</f>
        <v>171.03043906129773</v>
      </c>
      <c r="AP89" s="1">
        <f>(AP90*$C$22-BV89)/($C$21-$C$22*J90)</f>
        <v>165.80498657712161</v>
      </c>
      <c r="AQ89" s="1">
        <f>(AQ90*$C$22-BW89)/($C$21-$C$22*K90)</f>
        <v>160.61730045086037</v>
      </c>
      <c r="AR89" s="1">
        <f>(AR90*$C$22-BX89)/($C$21-$C$22*L90)</f>
        <v>155.47927658458943</v>
      </c>
      <c r="AS89" s="1">
        <f>(AS90*$C$22-BY89)/($C$21-$C$22*M90)</f>
        <v>150.40222752639423</v>
      </c>
      <c r="AT89" s="1">
        <f>(AT90*$C$22-BZ89)/($C$21-$C$22*N90)</f>
        <v>145.39674966445628</v>
      </c>
      <c r="AU89" s="1">
        <f>(AU90*$C$22-CA89)/($C$21-$C$22*O90)</f>
        <v>140.47259887759415</v>
      </c>
      <c r="AV89" s="1">
        <f>(AV90*$C$22-CB89)/($C$21-$C$22*P90)</f>
        <v>135.63857610559117</v>
      </c>
      <c r="AW89" s="1">
        <f>(AW90*$C$22-CC89)/($C$21-$C$22*Q90)</f>
        <v>130.90242418327361</v>
      </c>
      <c r="AX89" s="1">
        <f>(AX90*$C$22-CD89)/($C$21-$C$22*R90)</f>
        <v>126.27073714706657</v>
      </c>
      <c r="AY89" s="1">
        <f>(AY90*$C$22-CE89)/($C$21-$C$22*S90)</f>
        <v>121.7488830733878</v>
      </c>
      <c r="AZ89" s="1">
        <f>(AZ90*$C$22-CF89)/($C$21-$C$22*T90)</f>
        <v>117.3409413466332</v>
      </c>
      <c r="BA89" s="1">
        <f>(BA90*$C$22-CG89)/($C$21-$C$22*U90)</f>
        <v>113.04965508270057</v>
      </c>
      <c r="BB89" s="1">
        <f>(BB90*$C$22-CH89)/($C$21-$C$22*V90)</f>
        <v>108.87639925412519</v>
      </c>
      <c r="BC89" s="1">
        <f>(BC90*$C$22-CI89)/($C$21-$C$22*W90)</f>
        <v>104.82116487717312</v>
      </c>
      <c r="BD89" s="1">
        <f>(BD90*$C$22-CJ89)/($C$21-$C$22*X90)</f>
        <v>100.88255943191054</v>
      </c>
      <c r="BE89" s="1">
        <f>(BE90*$C$22-CK89)/($C$21-$C$22*Y90)</f>
        <v>97.05782349560738</v>
      </c>
      <c r="BF89" s="1">
        <f>(BF90*$C$22-CL89)/($C$21-$C$22*Z90)</f>
        <v>93.342863380091174</v>
      </c>
      <c r="BG89" s="1">
        <f>(BG90*$C$22-CM89)/($C$21-$C$22*AA90)</f>
        <v>89.732299377051817</v>
      </c>
      <c r="BH89" s="1">
        <f>(BH90*$C$22-CN89)/($C$21-$C$22*AB90)</f>
        <v>86.219529033950536</v>
      </c>
      <c r="BI89" s="1">
        <f>(BI90*$C$22-CO89)/($C$21-$C$22*AC90)</f>
        <v>82.796804709154259</v>
      </c>
      <c r="BJ89" s="1">
        <f>(BJ90*$C$22-CP89)/($C$21-$C$22*AD90)</f>
        <v>79.455324490140526</v>
      </c>
      <c r="BK89" s="1">
        <f>(BK90*$C$22-CQ89)/($C$21-$C$22*AE90)</f>
        <v>76.185335404903611</v>
      </c>
      <c r="BL89" s="1">
        <f>(BL90*$C$22-CR89)/($C$21-$C$22*AF90)</f>
        <v>72.976247715707558</v>
      </c>
      <c r="BM89" s="1">
        <f>(BM90*$C$22-CS89)/($C$21-$C$22*AG90)</f>
        <v>69.816758957577306</v>
      </c>
      <c r="BN89" s="1">
        <f>(BN90*$C$22-CT89)/($C$21-$C$22*AH90)</f>
        <v>66.694986272738291</v>
      </c>
      <c r="BO89" s="1">
        <f>(BO90*$C$22-CU89)/($C$21-$C$22*AI90)</f>
        <v>63.598605497762485</v>
      </c>
      <c r="BP89" s="1">
        <f>(BP90*$C$22-CV89)/($C$21-$C$22*AJ90)</f>
        <v>60.514995383435604</v>
      </c>
      <c r="BQ89" s="2"/>
      <c r="BR89" s="2"/>
      <c r="BS89" s="1">
        <f t="shared" si="34"/>
        <v>-1076400000</v>
      </c>
      <c r="BT89" s="1">
        <f t="shared" si="59"/>
        <v>-1045191140.1663288</v>
      </c>
      <c r="BU89" s="1">
        <f t="shared" si="60"/>
        <v>-1014058104.8774382</v>
      </c>
      <c r="BV89" s="1">
        <f t="shared" si="61"/>
        <v>-983075827.84936142</v>
      </c>
      <c r="BW89" s="1">
        <f t="shared" si="62"/>
        <v>-952317471.6715467</v>
      </c>
      <c r="BX89" s="1">
        <f t="shared" si="63"/>
        <v>-921853568.44331241</v>
      </c>
      <c r="BY89" s="1">
        <f t="shared" si="64"/>
        <v>-891751191.49462199</v>
      </c>
      <c r="BZ89" s="1">
        <f t="shared" si="65"/>
        <v>-862073167.9653511</v>
      </c>
      <c r="CA89" s="1">
        <f t="shared" si="66"/>
        <v>-832877341.52379858</v>
      </c>
      <c r="CB89" s="1">
        <f t="shared" si="67"/>
        <v>-804215893.90069532</v>
      </c>
      <c r="CC89" s="1">
        <f t="shared" si="68"/>
        <v>-776134733.20721376</v>
      </c>
      <c r="CD89" s="1">
        <f t="shared" si="69"/>
        <v>-748672956.20365858</v>
      </c>
      <c r="CE89" s="1">
        <f t="shared" si="70"/>
        <v>-721862390.79989672</v>
      </c>
      <c r="CF89" s="1">
        <f t="shared" si="38"/>
        <v>-695727224.11041105</v>
      </c>
      <c r="CG89" s="1">
        <f t="shared" si="39"/>
        <v>-670283720.3681885</v>
      </c>
      <c r="CH89" s="1">
        <f t="shared" si="40"/>
        <v>-645540031.93517733</v>
      </c>
      <c r="CI89" s="1">
        <f t="shared" si="41"/>
        <v>-621496105.54584002</v>
      </c>
      <c r="CJ89" s="1">
        <f t="shared" si="42"/>
        <v>-598143684.79779136</v>
      </c>
      <c r="CK89" s="1">
        <f t="shared" si="43"/>
        <v>-575466408.77305901</v>
      </c>
      <c r="CL89" s="1">
        <f t="shared" si="44"/>
        <v>-553440005.54851091</v>
      </c>
      <c r="CM89" s="1">
        <f t="shared" si="45"/>
        <v>-532032578.24752295</v>
      </c>
      <c r="CN89" s="1">
        <f t="shared" si="46"/>
        <v>-511204980.20973581</v>
      </c>
      <c r="CO89" s="1">
        <f t="shared" si="47"/>
        <v>-490911274.82389599</v>
      </c>
      <c r="CP89" s="1">
        <f t="shared" si="48"/>
        <v>-471099274.59179646</v>
      </c>
      <c r="CQ89" s="1">
        <f t="shared" si="49"/>
        <v>-451711153.07994789</v>
      </c>
      <c r="CR89" s="1">
        <f t="shared" si="50"/>
        <v>-432684122.57969075</v>
      </c>
      <c r="CS89" s="1">
        <f t="shared" si="51"/>
        <v>-413951169.54492223</v>
      </c>
      <c r="CT89" s="1">
        <f t="shared" si="52"/>
        <v>-395441839.21740425</v>
      </c>
      <c r="CU89" s="1">
        <f t="shared" si="35"/>
        <v>-377083060.28960443</v>
      </c>
      <c r="CV89" s="1">
        <f t="shared" si="32"/>
        <v>-358800000</v>
      </c>
      <c r="CW89" s="2"/>
      <c r="CX89" s="2"/>
      <c r="CY89" s="1">
        <f t="shared" si="37"/>
        <v>300</v>
      </c>
      <c r="CZ89" s="1">
        <f t="shared" si="71"/>
        <v>291.30187853019197</v>
      </c>
      <c r="DA89" s="1">
        <f t="shared" si="72"/>
        <v>282.624889876655</v>
      </c>
      <c r="DB89" s="1">
        <f t="shared" si="73"/>
        <v>273.98991857563027</v>
      </c>
      <c r="DC89" s="1">
        <f t="shared" si="74"/>
        <v>265.41735553833519</v>
      </c>
      <c r="DD89" s="1">
        <f t="shared" si="75"/>
        <v>256.92685854049955</v>
      </c>
      <c r="DE89" s="1">
        <f t="shared" si="76"/>
        <v>248.53712137531272</v>
      </c>
      <c r="DF89" s="1">
        <f t="shared" si="77"/>
        <v>240.26565439391052</v>
      </c>
      <c r="DG89" s="1">
        <f t="shared" si="78"/>
        <v>232.12857902001076</v>
      </c>
      <c r="DH89" s="1">
        <f t="shared" si="79"/>
        <v>224.14043865682703</v>
      </c>
      <c r="DI89" s="1">
        <f t="shared" si="80"/>
        <v>216.31402820713879</v>
      </c>
      <c r="DJ89" s="1">
        <f t="shared" si="81"/>
        <v>208.66024420391824</v>
      </c>
      <c r="DK89" s="1">
        <f t="shared" si="82"/>
        <v>201.18795730208944</v>
      </c>
      <c r="DL89" s="1">
        <f t="shared" si="83"/>
        <v>193.9039086149418</v>
      </c>
      <c r="DM89" s="1">
        <f t="shared" si="84"/>
        <v>186.81263109481284</v>
      </c>
      <c r="DN89" s="1">
        <f t="shared" si="85"/>
        <v>179.91639686041728</v>
      </c>
      <c r="DO89" s="1">
        <f t="shared" si="86"/>
        <v>173.21519106628764</v>
      </c>
      <c r="DP89" s="1">
        <f t="shared" si="87"/>
        <v>166.70671259693182</v>
      </c>
      <c r="DQ89" s="1">
        <f t="shared" si="88"/>
        <v>160.38640155324941</v>
      </c>
      <c r="DR89" s="1">
        <f t="shared" si="89"/>
        <v>154.24749318520372</v>
      </c>
      <c r="DS89" s="1">
        <f t="shared" si="90"/>
        <v>148.28109761636651</v>
      </c>
      <c r="DT89" s="1">
        <f t="shared" si="91"/>
        <v>142.47630440628089</v>
      </c>
      <c r="DU89" s="1">
        <f t="shared" si="92"/>
        <v>136.82031070900109</v>
      </c>
      <c r="DV89" s="1">
        <f t="shared" si="93"/>
        <v>131.29857151387858</v>
      </c>
      <c r="DW89" s="1">
        <f t="shared" si="53"/>
        <v>125.89497020065437</v>
      </c>
      <c r="DX89" s="1">
        <f t="shared" si="54"/>
        <v>120.59200740794057</v>
      </c>
      <c r="DY89" s="1">
        <f t="shared" si="55"/>
        <v>115.37100600471635</v>
      </c>
      <c r="DZ89" s="1">
        <f t="shared" si="56"/>
        <v>110.21232977073697</v>
      </c>
      <c r="EA89" s="1">
        <f t="shared" si="57"/>
        <v>105.0956132356757</v>
      </c>
      <c r="EB89" s="1">
        <f t="shared" si="58"/>
        <v>100</v>
      </c>
    </row>
    <row r="90" spans="4:132">
      <c r="D90" s="2"/>
      <c r="E90" s="2"/>
      <c r="F90" s="1">
        <v>7</v>
      </c>
      <c r="G90" s="1">
        <f>$C$20/($C$21-$C$22*G91)</f>
        <v>0.39486027770820464</v>
      </c>
      <c r="H90" s="1">
        <f>$C$20/($C$21-$C$22*H91)</f>
        <v>0.39486027770820464</v>
      </c>
      <c r="I90" s="1">
        <f>$C$20/($C$21-$C$22*I91)</f>
        <v>0.39486027770820464</v>
      </c>
      <c r="J90" s="1">
        <f>$C$20/($C$21-$C$22*J91)</f>
        <v>0.39486027770820464</v>
      </c>
      <c r="K90" s="1">
        <f>$C$20/($C$21-$C$22*K91)</f>
        <v>0.39486027770820464</v>
      </c>
      <c r="L90" s="1">
        <f>$C$20/($C$21-$C$22*L91)</f>
        <v>0.39486027770820464</v>
      </c>
      <c r="M90" s="1">
        <f>$C$20/($C$21-$C$22*M91)</f>
        <v>0.39486027770820464</v>
      </c>
      <c r="N90" s="1">
        <f>$C$20/($C$21-$C$22*N91)</f>
        <v>0.39486027770820464</v>
      </c>
      <c r="O90" s="1">
        <f>$C$20/($C$21-$C$22*O91)</f>
        <v>0.39486027770820464</v>
      </c>
      <c r="P90" s="1">
        <f>$C$20/($C$21-$C$22*P91)</f>
        <v>0.39486027770820464</v>
      </c>
      <c r="Q90" s="1">
        <f>$C$20/($C$21-$C$22*Q91)</f>
        <v>0.39486027770820464</v>
      </c>
      <c r="R90" s="1">
        <f>$C$20/($C$21-$C$22*R91)</f>
        <v>0.39486027770820464</v>
      </c>
      <c r="S90" s="1">
        <f>$C$20/($C$21-$C$22*S91)</f>
        <v>0.39486027770820464</v>
      </c>
      <c r="T90" s="1">
        <f>$C$20/($C$21-$C$22*T91)</f>
        <v>0.39486027770820464</v>
      </c>
      <c r="U90" s="1">
        <f>$C$20/($C$21-$C$22*U91)</f>
        <v>0.39486027770820464</v>
      </c>
      <c r="V90" s="1">
        <f>$C$20/($C$21-$C$22*V91)</f>
        <v>0.39486027770820464</v>
      </c>
      <c r="W90" s="1">
        <f>$C$20/($C$21-$C$22*W91)</f>
        <v>0.39486027770820464</v>
      </c>
      <c r="X90" s="1">
        <f>$C$20/($C$21-$C$22*X91)</f>
        <v>0.39486027770820464</v>
      </c>
      <c r="Y90" s="1">
        <f>$C$20/($C$21-$C$22*Y91)</f>
        <v>0.39486027770820464</v>
      </c>
      <c r="Z90" s="1">
        <f>$C$20/($C$21-$C$22*Z91)</f>
        <v>0.39486027770820464</v>
      </c>
      <c r="AA90" s="1">
        <f>$C$20/($C$21-$C$22*AA91)</f>
        <v>0.39486027770820464</v>
      </c>
      <c r="AB90" s="1">
        <f>$C$20/($C$21-$C$22*AB91)</f>
        <v>0.39486027770820464</v>
      </c>
      <c r="AC90" s="1">
        <f>$C$20/($C$21-$C$22*AC91)</f>
        <v>0.39486027770820464</v>
      </c>
      <c r="AD90" s="1">
        <f>$C$20/($C$21-$C$22*AD91)</f>
        <v>0.39486027770820464</v>
      </c>
      <c r="AE90" s="1">
        <f>$C$20/($C$21-$C$22*AE91)</f>
        <v>0.39486027770820464</v>
      </c>
      <c r="AF90" s="1">
        <f>$C$20/($C$21-$C$22*AF91)</f>
        <v>0.39486027770820464</v>
      </c>
      <c r="AG90" s="1">
        <f>$C$20/($C$21-$C$22*AG91)</f>
        <v>0.39486027770820464</v>
      </c>
      <c r="AH90" s="1">
        <f>$C$20/($C$21-$C$22*AH91)</f>
        <v>0.39486027770820464</v>
      </c>
      <c r="AI90" s="1">
        <f>$C$20/($C$21-$C$22*AI91)</f>
        <v>0.39486027770820464</v>
      </c>
      <c r="AJ90" s="1">
        <f>$C$20/($C$21-$C$22*AJ91)</f>
        <v>0.39486027770820464</v>
      </c>
      <c r="AK90" s="2"/>
      <c r="AL90" s="2"/>
      <c r="AM90" s="1">
        <f>(AM91*$C$22-BS90)/($C$21-$C$22*G91)</f>
        <v>181.54191668753859</v>
      </c>
      <c r="AN90" s="1">
        <f>(AN91*$C$22-BT90)/($C$21-$C$22*H91)</f>
        <v>176.27833787683866</v>
      </c>
      <c r="AO90" s="1">
        <f>(AO91*$C$22-BU90)/($C$21-$C$22*I91)</f>
        <v>171.0275473727082</v>
      </c>
      <c r="AP90" s="1">
        <f>(AP91*$C$22-BV90)/($C$21-$C$22*J91)</f>
        <v>165.80218323760846</v>
      </c>
      <c r="AQ90" s="1">
        <f>(AQ91*$C$22-BW90)/($C$21-$C$22*K91)</f>
        <v>160.61458482189082</v>
      </c>
      <c r="AR90" s="1">
        <f>(AR91*$C$22-BX90)/($C$21-$C$22*L91)</f>
        <v>155.47664782650122</v>
      </c>
      <c r="AS90" s="1">
        <f>(AS91*$C$22-BY90)/($C$21-$C$22*M91)</f>
        <v>150.39968460825892</v>
      </c>
      <c r="AT90" s="1">
        <f>(AT91*$C$22-BZ90)/($C$21-$C$22*N91)</f>
        <v>145.39429137618745</v>
      </c>
      <c r="AU90" s="1">
        <f>(AU91*$C$22-CA90)/($C$21-$C$22*O91)</f>
        <v>140.47022384415834</v>
      </c>
      <c r="AV90" s="1">
        <f>(AV91*$C$22-CB90)/($C$21-$C$22*P91)</f>
        <v>135.63628280315345</v>
      </c>
      <c r="AW90" s="1">
        <f>(AW91*$C$22-CC90)/($C$21-$C$22*Q91)</f>
        <v>130.90021095708752</v>
      </c>
      <c r="AX90" s="1">
        <f>(AX91*$C$22-CD90)/($C$21-$C$22*R91)</f>
        <v>126.26860223089727</v>
      </c>
      <c r="AY90" s="1">
        <f>(AY91*$C$22-CE90)/($C$21-$C$22*S91)</f>
        <v>121.74682461023995</v>
      </c>
      <c r="AZ90" s="1">
        <f>(AZ91*$C$22-CF90)/($C$21-$C$22*T91)</f>
        <v>117.33895741053952</v>
      </c>
      <c r="BA90" s="1">
        <f>(BA91*$C$22-CG90)/($C$21-$C$22*U91)</f>
        <v>113.04774370131466</v>
      </c>
      <c r="BB90" s="1">
        <f>(BB91*$C$22-CH90)/($C$21-$C$22*V91)</f>
        <v>108.87455843185333</v>
      </c>
      <c r="BC90" s="1">
        <f>(BC91*$C$22-CI90)/($C$21-$C$22*W91)</f>
        <v>104.81939261857356</v>
      </c>
      <c r="BD90" s="1">
        <f>(BD91*$C$22-CJ90)/($C$21-$C$22*X91)</f>
        <v>100.88085376508543</v>
      </c>
      <c r="BE90" s="1">
        <f>(BE91*$C$22-CK90)/($C$21-$C$22*Y91)</f>
        <v>97.05618249531372</v>
      </c>
      <c r="BF90" s="1">
        <f>(BF91*$C$22-CL90)/($C$21-$C$22*Z91)</f>
        <v>93.341285190299772</v>
      </c>
      <c r="BG90" s="1">
        <f>(BG91*$C$22-CM90)/($C$21-$C$22*AA91)</f>
        <v>89.730782232690615</v>
      </c>
      <c r="BH90" s="1">
        <f>(BH91*$C$22-CN90)/($C$21-$C$22*AB91)</f>
        <v>86.218071281578105</v>
      </c>
      <c r="BI90" s="1">
        <f>(BI91*$C$22-CO90)/($C$21-$C$22*AC91)</f>
        <v>82.79540482632207</v>
      </c>
      <c r="BJ90" s="1">
        <f>(BJ91*$C$22-CP90)/($C$21-$C$22*AD91)</f>
        <v>79.453981103217913</v>
      </c>
      <c r="BK90" s="1">
        <f>(BK91*$C$22-CQ90)/($C$21-$C$22*AE91)</f>
        <v>76.184047305157819</v>
      </c>
      <c r="BL90" s="1">
        <f>(BL91*$C$22-CR90)/($C$21-$C$22*AF91)</f>
        <v>72.975013873451275</v>
      </c>
      <c r="BM90" s="1">
        <f>(BM91*$C$22-CS90)/($C$21-$C$22*AG91)</f>
        <v>69.8155785342191</v>
      </c>
      <c r="BN90" s="1">
        <f>(BN91*$C$22-CT90)/($C$21-$C$22*AH91)</f>
        <v>66.693858630595528</v>
      </c>
      <c r="BO90" s="1">
        <f>(BO91*$C$22-CU90)/($C$21-$C$22*AI91)</f>
        <v>63.597530207522723</v>
      </c>
      <c r="BP90" s="1">
        <f>(BP91*$C$22-CV90)/($C$21-$C$22*AJ91)</f>
        <v>60.513972229179537</v>
      </c>
      <c r="BQ90" s="2"/>
      <c r="BR90" s="2"/>
      <c r="BS90" s="1">
        <f t="shared" si="34"/>
        <v>-1076400000</v>
      </c>
      <c r="BT90" s="1">
        <f t="shared" si="59"/>
        <v>-1045191140.1663288</v>
      </c>
      <c r="BU90" s="1">
        <f t="shared" si="60"/>
        <v>-1014058104.8774379</v>
      </c>
      <c r="BV90" s="1">
        <f t="shared" si="61"/>
        <v>-983075827.84936118</v>
      </c>
      <c r="BW90" s="1">
        <f t="shared" si="62"/>
        <v>-952317471.67154646</v>
      </c>
      <c r="BX90" s="1">
        <f t="shared" si="63"/>
        <v>-921853568.44331193</v>
      </c>
      <c r="BY90" s="1">
        <f t="shared" si="64"/>
        <v>-891751191.49462163</v>
      </c>
      <c r="BZ90" s="1">
        <f t="shared" si="65"/>
        <v>-862073167.96535075</v>
      </c>
      <c r="CA90" s="1">
        <f t="shared" si="66"/>
        <v>-832877341.52379823</v>
      </c>
      <c r="CB90" s="1">
        <f t="shared" si="67"/>
        <v>-804215893.9006952</v>
      </c>
      <c r="CC90" s="1">
        <f t="shared" si="68"/>
        <v>-776134733.20721376</v>
      </c>
      <c r="CD90" s="1">
        <f t="shared" si="69"/>
        <v>-748672956.20365858</v>
      </c>
      <c r="CE90" s="1">
        <f t="shared" si="70"/>
        <v>-721862390.79989672</v>
      </c>
      <c r="CF90" s="1">
        <f t="shared" si="38"/>
        <v>-695727224.11041105</v>
      </c>
      <c r="CG90" s="1">
        <f t="shared" si="39"/>
        <v>-670283720.36818838</v>
      </c>
      <c r="CH90" s="1">
        <f t="shared" si="40"/>
        <v>-645540031.93517709</v>
      </c>
      <c r="CI90" s="1">
        <f t="shared" si="41"/>
        <v>-621496105.54584002</v>
      </c>
      <c r="CJ90" s="1">
        <f t="shared" si="42"/>
        <v>-598143684.79779124</v>
      </c>
      <c r="CK90" s="1">
        <f t="shared" si="43"/>
        <v>-575466408.77305889</v>
      </c>
      <c r="CL90" s="1">
        <f t="shared" si="44"/>
        <v>-553440005.54851091</v>
      </c>
      <c r="CM90" s="1">
        <f t="shared" si="45"/>
        <v>-532032578.24752295</v>
      </c>
      <c r="CN90" s="1">
        <f t="shared" si="46"/>
        <v>-511204980.20973575</v>
      </c>
      <c r="CO90" s="1">
        <f t="shared" si="47"/>
        <v>-490911274.82389593</v>
      </c>
      <c r="CP90" s="1">
        <f t="shared" si="48"/>
        <v>-471099274.59179634</v>
      </c>
      <c r="CQ90" s="1">
        <f t="shared" si="49"/>
        <v>-451711153.07994783</v>
      </c>
      <c r="CR90" s="1">
        <f t="shared" si="50"/>
        <v>-432684122.57969069</v>
      </c>
      <c r="CS90" s="1">
        <f t="shared" si="51"/>
        <v>-413951169.54492223</v>
      </c>
      <c r="CT90" s="1">
        <f t="shared" si="52"/>
        <v>-395441839.21740425</v>
      </c>
      <c r="CU90" s="1">
        <f t="shared" si="35"/>
        <v>-377083060.28960443</v>
      </c>
      <c r="CV90" s="1">
        <f t="shared" si="32"/>
        <v>-358800000</v>
      </c>
      <c r="CW90" s="2"/>
      <c r="CX90" s="2"/>
      <c r="CY90" s="1">
        <f t="shared" si="37"/>
        <v>300</v>
      </c>
      <c r="CZ90" s="1">
        <f t="shared" si="71"/>
        <v>291.30187853019197</v>
      </c>
      <c r="DA90" s="1">
        <f t="shared" si="72"/>
        <v>282.62488987665495</v>
      </c>
      <c r="DB90" s="1">
        <f t="shared" si="73"/>
        <v>273.98991857563021</v>
      </c>
      <c r="DC90" s="1">
        <f t="shared" si="74"/>
        <v>265.41735553833513</v>
      </c>
      <c r="DD90" s="1">
        <f t="shared" si="75"/>
        <v>256.9268585404995</v>
      </c>
      <c r="DE90" s="1">
        <f t="shared" si="76"/>
        <v>248.53712137531267</v>
      </c>
      <c r="DF90" s="1">
        <f t="shared" si="77"/>
        <v>240.26565439391049</v>
      </c>
      <c r="DG90" s="1">
        <f t="shared" si="78"/>
        <v>232.1285790200107</v>
      </c>
      <c r="DH90" s="1">
        <f t="shared" si="79"/>
        <v>224.14043865682697</v>
      </c>
      <c r="DI90" s="1">
        <f t="shared" si="80"/>
        <v>216.31402820713876</v>
      </c>
      <c r="DJ90" s="1">
        <f t="shared" si="81"/>
        <v>208.66024420391824</v>
      </c>
      <c r="DK90" s="1">
        <f t="shared" si="82"/>
        <v>201.18795730208942</v>
      </c>
      <c r="DL90" s="1">
        <f t="shared" si="83"/>
        <v>193.90390861494177</v>
      </c>
      <c r="DM90" s="1">
        <f t="shared" si="84"/>
        <v>186.81263109481284</v>
      </c>
      <c r="DN90" s="1">
        <f t="shared" si="85"/>
        <v>179.91639686041725</v>
      </c>
      <c r="DO90" s="1">
        <f t="shared" si="86"/>
        <v>173.21519106628762</v>
      </c>
      <c r="DP90" s="1">
        <f t="shared" si="87"/>
        <v>166.70671259693179</v>
      </c>
      <c r="DQ90" s="1">
        <f t="shared" si="88"/>
        <v>160.38640155324941</v>
      </c>
      <c r="DR90" s="1">
        <f t="shared" si="89"/>
        <v>154.24749318520372</v>
      </c>
      <c r="DS90" s="1">
        <f t="shared" si="90"/>
        <v>148.28109761636648</v>
      </c>
      <c r="DT90" s="1">
        <f t="shared" si="91"/>
        <v>142.47630440628086</v>
      </c>
      <c r="DU90" s="1">
        <f t="shared" si="92"/>
        <v>136.82031070900109</v>
      </c>
      <c r="DV90" s="1">
        <f t="shared" si="93"/>
        <v>131.29857151387858</v>
      </c>
      <c r="DW90" s="1">
        <f t="shared" si="53"/>
        <v>125.89497020065434</v>
      </c>
      <c r="DX90" s="1">
        <f t="shared" si="54"/>
        <v>120.59200740794056</v>
      </c>
      <c r="DY90" s="1">
        <f t="shared" si="55"/>
        <v>115.37100600471635</v>
      </c>
      <c r="DZ90" s="1">
        <f t="shared" si="56"/>
        <v>110.21232977073696</v>
      </c>
      <c r="EA90" s="1">
        <f t="shared" si="57"/>
        <v>105.0956132356757</v>
      </c>
      <c r="EB90" s="1">
        <f t="shared" si="58"/>
        <v>100</v>
      </c>
    </row>
    <row r="91" spans="4:132">
      <c r="D91" s="2"/>
      <c r="E91" s="2"/>
      <c r="F91" s="1">
        <v>6</v>
      </c>
      <c r="G91" s="1">
        <f>$C$20/($C$21-$C$22*G92)</f>
        <v>0.39492590212780204</v>
      </c>
      <c r="H91" s="1">
        <f>$C$20/($C$21-$C$22*H92)</f>
        <v>0.39492590212780204</v>
      </c>
      <c r="I91" s="1">
        <f>$C$20/($C$21-$C$22*I92)</f>
        <v>0.39492590212780204</v>
      </c>
      <c r="J91" s="1">
        <f>$C$20/($C$21-$C$22*J92)</f>
        <v>0.39492590212780204</v>
      </c>
      <c r="K91" s="1">
        <f>$C$20/($C$21-$C$22*K92)</f>
        <v>0.39492590212780204</v>
      </c>
      <c r="L91" s="1">
        <f>$C$20/($C$21-$C$22*L92)</f>
        <v>0.39492590212780204</v>
      </c>
      <c r="M91" s="1">
        <f>$C$20/($C$21-$C$22*M92)</f>
        <v>0.39492590212780204</v>
      </c>
      <c r="N91" s="1">
        <f>$C$20/($C$21-$C$22*N92)</f>
        <v>0.39492590212780204</v>
      </c>
      <c r="O91" s="1">
        <f>$C$20/($C$21-$C$22*O92)</f>
        <v>0.39492590212780204</v>
      </c>
      <c r="P91" s="1">
        <f>$C$20/($C$21-$C$22*P92)</f>
        <v>0.39492590212780204</v>
      </c>
      <c r="Q91" s="1">
        <f>$C$20/($C$21-$C$22*Q92)</f>
        <v>0.39492590212780204</v>
      </c>
      <c r="R91" s="1">
        <f>$C$20/($C$21-$C$22*R92)</f>
        <v>0.39492590212780204</v>
      </c>
      <c r="S91" s="1">
        <f>$C$20/($C$21-$C$22*S92)</f>
        <v>0.39492590212780204</v>
      </c>
      <c r="T91" s="1">
        <f>$C$20/($C$21-$C$22*T92)</f>
        <v>0.39492590212780204</v>
      </c>
      <c r="U91" s="1">
        <f>$C$20/($C$21-$C$22*U92)</f>
        <v>0.39492590212780204</v>
      </c>
      <c r="V91" s="1">
        <f>$C$20/($C$21-$C$22*V92)</f>
        <v>0.39492590212780204</v>
      </c>
      <c r="W91" s="1">
        <f>$C$20/($C$21-$C$22*W92)</f>
        <v>0.39492590212780204</v>
      </c>
      <c r="X91" s="1">
        <f>$C$20/($C$21-$C$22*X92)</f>
        <v>0.39492590212780204</v>
      </c>
      <c r="Y91" s="1">
        <f>$C$20/($C$21-$C$22*Y92)</f>
        <v>0.39492590212780204</v>
      </c>
      <c r="Z91" s="1">
        <f>$C$20/($C$21-$C$22*Z92)</f>
        <v>0.39492590212780204</v>
      </c>
      <c r="AA91" s="1">
        <f>$C$20/($C$21-$C$22*AA92)</f>
        <v>0.39492590212780204</v>
      </c>
      <c r="AB91" s="1">
        <f>$C$20/($C$21-$C$22*AB92)</f>
        <v>0.39492590212780204</v>
      </c>
      <c r="AC91" s="1">
        <f>$C$20/($C$21-$C$22*AC92)</f>
        <v>0.39492590212780204</v>
      </c>
      <c r="AD91" s="1">
        <f>$C$20/($C$21-$C$22*AD92)</f>
        <v>0.39492590212780204</v>
      </c>
      <c r="AE91" s="1">
        <f>$C$20/($C$21-$C$22*AE92)</f>
        <v>0.39492590212780204</v>
      </c>
      <c r="AF91" s="1">
        <f>$C$20/($C$21-$C$22*AF92)</f>
        <v>0.39492590212780204</v>
      </c>
      <c r="AG91" s="1">
        <f>$C$20/($C$21-$C$22*AG92)</f>
        <v>0.39492590212780204</v>
      </c>
      <c r="AH91" s="1">
        <f>$C$20/($C$21-$C$22*AH92)</f>
        <v>0.39492590212780204</v>
      </c>
      <c r="AI91" s="1">
        <f>$C$20/($C$21-$C$22*AI92)</f>
        <v>0.39492590212780204</v>
      </c>
      <c r="AJ91" s="1">
        <f>$C$20/($C$21-$C$22*AJ92)</f>
        <v>0.39492590212780204</v>
      </c>
      <c r="AK91" s="2"/>
      <c r="AL91" s="2"/>
      <c r="AM91" s="1">
        <f>(AM92*$C$22-BS91)/($C$21-$C$22*G92)</f>
        <v>181.52222936165941</v>
      </c>
      <c r="AN91" s="1">
        <f>(AN92*$C$22-BT91)/($C$21-$C$22*H92)</f>
        <v>176.2592213601325</v>
      </c>
      <c r="AO91" s="1">
        <f>(AO92*$C$22-BU91)/($C$21-$C$22*I92)</f>
        <v>171.00900027834629</v>
      </c>
      <c r="AP91" s="1">
        <f>(AP92*$C$22-BV91)/($C$21-$C$22*J92)</f>
        <v>165.78420280822644</v>
      </c>
      <c r="AQ91" s="1">
        <f>(AQ92*$C$22-BW91)/($C$21-$C$22*K92)</f>
        <v>160.59716696198259</v>
      </c>
      <c r="AR91" s="1">
        <f>(AR92*$C$22-BX91)/($C$21-$C$22*L92)</f>
        <v>155.45978715053056</v>
      </c>
      <c r="AS91" s="1">
        <f>(AS92*$C$22-BY91)/($C$21-$C$22*M92)</f>
        <v>150.38337450392032</v>
      </c>
      <c r="AT91" s="1">
        <f>(AT92*$C$22-BZ91)/($C$21-$C$22*N92)</f>
        <v>145.37852408206871</v>
      </c>
      <c r="AU91" s="1">
        <f>(AU92*$C$22-CA91)/($C$21-$C$22*O92)</f>
        <v>140.45499054088822</v>
      </c>
      <c r="AV91" s="1">
        <f>(AV92*$C$22-CB91)/($C$21-$C$22*P92)</f>
        <v>135.62157371695835</v>
      </c>
      <c r="AW91" s="1">
        <f>(AW92*$C$22-CC91)/($C$21-$C$22*Q92)</f>
        <v>130.8860154745357</v>
      </c>
      <c r="AX91" s="1">
        <f>(AX92*$C$22-CD91)/($C$21-$C$22*R92)</f>
        <v>126.25490902347836</v>
      </c>
      <c r="AY91" s="1">
        <f>(AY92*$C$22-CE91)/($C$21-$C$22*S92)</f>
        <v>121.73362176731204</v>
      </c>
      <c r="AZ91" s="1">
        <f>(AZ92*$C$22-CF91)/($C$21-$C$22*T92)</f>
        <v>117.32623257907902</v>
      </c>
      <c r="BA91" s="1">
        <f>(BA92*$C$22-CG91)/($C$21-$C$22*U92)</f>
        <v>113.03548423082562</v>
      </c>
      <c r="BB91" s="1">
        <f>(BB92*$C$22-CH91)/($C$21-$C$22*V92)</f>
        <v>108.86275152273336</v>
      </c>
      <c r="BC91" s="1">
        <f>(BC92*$C$22-CI91)/($C$21-$C$22*W92)</f>
        <v>104.80802547219442</v>
      </c>
      <c r="BD91" s="1">
        <f>(BD92*$C$22-CJ91)/($C$21-$C$22*X92)</f>
        <v>100.86991373382831</v>
      </c>
      <c r="BE91" s="1">
        <f>(BE92*$C$22-CK91)/($C$21-$C$22*Y92)</f>
        <v>97.045657230800501</v>
      </c>
      <c r="BF91" s="1">
        <f>(BF92*$C$22-CL91)/($C$21-$C$22*Z92)</f>
        <v>93.331162788085152</v>
      </c>
      <c r="BG91" s="1">
        <f>(BG92*$C$22-CM91)/($C$21-$C$22*AA92)</f>
        <v>89.721051371722282</v>
      </c>
      <c r="BH91" s="1">
        <f>(BH92*$C$22-CN91)/($C$21-$C$22*AB92)</f>
        <v>86.208721356795081</v>
      </c>
      <c r="BI91" s="1">
        <f>(BI92*$C$22-CO91)/($C$21-$C$22*AC92)</f>
        <v>82.786426072842687</v>
      </c>
      <c r="BJ91" s="1">
        <f>(BJ92*$C$22-CP91)/($C$21-$C$22*AD92)</f>
        <v>79.445364710668386</v>
      </c>
      <c r="BK91" s="1">
        <f>(BK92*$C$22-CQ91)/($C$21-$C$22*AE92)</f>
        <v>76.175785520808191</v>
      </c>
      <c r="BL91" s="1">
        <f>(BL92*$C$22-CR91)/($C$21-$C$22*AF92)</f>
        <v>72.967100092957054</v>
      </c>
      <c r="BM91" s="1">
        <f>(BM92*$C$22-CS91)/($C$21-$C$22*AG92)</f>
        <v>69.808007378911682</v>
      </c>
      <c r="BN91" s="1">
        <f>(BN92*$C$22-CT91)/($C$21-$C$22*AH92)</f>
        <v>66.686626010421861</v>
      </c>
      <c r="BO91" s="1">
        <f>(BO92*$C$22-CU91)/($C$21-$C$22*AI92)</f>
        <v>63.590633368901905</v>
      </c>
      <c r="BP91" s="1">
        <f>(BP92*$C$22-CV91)/($C$21-$C$22*AJ92)</f>
        <v>60.507409787219807</v>
      </c>
      <c r="BQ91" s="2"/>
      <c r="BR91" s="2"/>
      <c r="BS91" s="1">
        <f t="shared" si="34"/>
        <v>-1076400000</v>
      </c>
      <c r="BT91" s="1">
        <f t="shared" si="59"/>
        <v>-1045191140.1663288</v>
      </c>
      <c r="BU91" s="1">
        <f t="shared" si="60"/>
        <v>-1014058104.8774379</v>
      </c>
      <c r="BV91" s="1">
        <f t="shared" si="61"/>
        <v>-983075827.84936118</v>
      </c>
      <c r="BW91" s="1">
        <f t="shared" si="62"/>
        <v>-952317471.67154646</v>
      </c>
      <c r="BX91" s="1">
        <f t="shared" si="63"/>
        <v>-921853568.44331217</v>
      </c>
      <c r="BY91" s="1">
        <f t="shared" si="64"/>
        <v>-891751191.49462187</v>
      </c>
      <c r="BZ91" s="1">
        <f t="shared" si="65"/>
        <v>-862073167.96535087</v>
      </c>
      <c r="CA91" s="1">
        <f t="shared" si="66"/>
        <v>-832877341.52379847</v>
      </c>
      <c r="CB91" s="1">
        <f t="shared" si="67"/>
        <v>-804215893.90069532</v>
      </c>
      <c r="CC91" s="1">
        <f t="shared" si="68"/>
        <v>-776134733.20721388</v>
      </c>
      <c r="CD91" s="1">
        <f t="shared" si="69"/>
        <v>-748672956.20365858</v>
      </c>
      <c r="CE91" s="1">
        <f t="shared" si="70"/>
        <v>-721862390.79989672</v>
      </c>
      <c r="CF91" s="1">
        <f t="shared" si="38"/>
        <v>-695727224.11041105</v>
      </c>
      <c r="CG91" s="1">
        <f t="shared" si="39"/>
        <v>-670283720.3681885</v>
      </c>
      <c r="CH91" s="1">
        <f t="shared" si="40"/>
        <v>-645540031.93517733</v>
      </c>
      <c r="CI91" s="1">
        <f t="shared" si="41"/>
        <v>-621496105.54584002</v>
      </c>
      <c r="CJ91" s="1">
        <f t="shared" si="42"/>
        <v>-598143684.79779136</v>
      </c>
      <c r="CK91" s="1">
        <f t="shared" si="43"/>
        <v>-575466408.77305901</v>
      </c>
      <c r="CL91" s="1">
        <f t="shared" si="44"/>
        <v>-553440005.54851091</v>
      </c>
      <c r="CM91" s="1">
        <f t="shared" si="45"/>
        <v>-532032578.24752295</v>
      </c>
      <c r="CN91" s="1">
        <f t="shared" si="46"/>
        <v>-511204980.20973581</v>
      </c>
      <c r="CO91" s="1">
        <f t="shared" si="47"/>
        <v>-490911274.82389599</v>
      </c>
      <c r="CP91" s="1">
        <f t="shared" si="48"/>
        <v>-471099274.59179646</v>
      </c>
      <c r="CQ91" s="1">
        <f t="shared" si="49"/>
        <v>-451711153.07994789</v>
      </c>
      <c r="CR91" s="1">
        <f t="shared" si="50"/>
        <v>-432684122.57969075</v>
      </c>
      <c r="CS91" s="1">
        <f t="shared" si="51"/>
        <v>-413951169.54492223</v>
      </c>
      <c r="CT91" s="1">
        <f t="shared" si="52"/>
        <v>-395441839.21740425</v>
      </c>
      <c r="CU91" s="1">
        <f t="shared" si="35"/>
        <v>-377083060.28960443</v>
      </c>
      <c r="CV91" s="1">
        <f t="shared" si="32"/>
        <v>-358800000</v>
      </c>
      <c r="CW91" s="2"/>
      <c r="CX91" s="2"/>
      <c r="CY91" s="1">
        <f t="shared" si="37"/>
        <v>300</v>
      </c>
      <c r="CZ91" s="1">
        <f t="shared" si="71"/>
        <v>291.30187853019197</v>
      </c>
      <c r="DA91" s="1">
        <f t="shared" si="72"/>
        <v>282.62488987665495</v>
      </c>
      <c r="DB91" s="1">
        <f t="shared" si="73"/>
        <v>273.98991857563021</v>
      </c>
      <c r="DC91" s="1">
        <f t="shared" si="74"/>
        <v>265.41735553833519</v>
      </c>
      <c r="DD91" s="1">
        <f t="shared" si="75"/>
        <v>256.9268585404995</v>
      </c>
      <c r="DE91" s="1">
        <f t="shared" si="76"/>
        <v>248.53712137531272</v>
      </c>
      <c r="DF91" s="1">
        <f t="shared" si="77"/>
        <v>240.26565439391049</v>
      </c>
      <c r="DG91" s="1">
        <f t="shared" si="78"/>
        <v>232.12857902001073</v>
      </c>
      <c r="DH91" s="1">
        <f t="shared" si="79"/>
        <v>224.14043865682703</v>
      </c>
      <c r="DI91" s="1">
        <f t="shared" si="80"/>
        <v>216.31402820713879</v>
      </c>
      <c r="DJ91" s="1">
        <f t="shared" si="81"/>
        <v>208.66024420391824</v>
      </c>
      <c r="DK91" s="1">
        <f t="shared" si="82"/>
        <v>201.18795730208944</v>
      </c>
      <c r="DL91" s="1">
        <f t="shared" si="83"/>
        <v>193.90390861494177</v>
      </c>
      <c r="DM91" s="1">
        <f t="shared" si="84"/>
        <v>186.81263109481284</v>
      </c>
      <c r="DN91" s="1">
        <f t="shared" si="85"/>
        <v>179.91639686041731</v>
      </c>
      <c r="DO91" s="1">
        <f t="shared" si="86"/>
        <v>173.21519106628764</v>
      </c>
      <c r="DP91" s="1">
        <f t="shared" si="87"/>
        <v>166.70671259693182</v>
      </c>
      <c r="DQ91" s="1">
        <f t="shared" si="88"/>
        <v>160.38640155324944</v>
      </c>
      <c r="DR91" s="1">
        <f t="shared" si="89"/>
        <v>154.24749318520372</v>
      </c>
      <c r="DS91" s="1">
        <f t="shared" si="90"/>
        <v>148.28109761636648</v>
      </c>
      <c r="DT91" s="1">
        <f t="shared" si="91"/>
        <v>142.47630440628089</v>
      </c>
      <c r="DU91" s="1">
        <f t="shared" si="92"/>
        <v>136.82031070900112</v>
      </c>
      <c r="DV91" s="1">
        <f t="shared" si="93"/>
        <v>131.29857151387861</v>
      </c>
      <c r="DW91" s="1">
        <f t="shared" si="53"/>
        <v>125.89497020065437</v>
      </c>
      <c r="DX91" s="1">
        <f t="shared" si="54"/>
        <v>120.59200740794057</v>
      </c>
      <c r="DY91" s="1">
        <f t="shared" si="55"/>
        <v>115.37100600471635</v>
      </c>
      <c r="DZ91" s="1">
        <f t="shared" si="56"/>
        <v>110.21232977073697</v>
      </c>
      <c r="EA91" s="1">
        <f t="shared" si="57"/>
        <v>105.0956132356757</v>
      </c>
      <c r="EB91" s="1">
        <f t="shared" si="58"/>
        <v>100.00000000000001</v>
      </c>
    </row>
    <row r="92" spans="4:132">
      <c r="D92" s="2"/>
      <c r="E92" s="2"/>
      <c r="F92" s="1">
        <v>5</v>
      </c>
      <c r="G92" s="1">
        <f>$C$20/($C$21-$C$22*G93)</f>
        <v>0.39534673185434266</v>
      </c>
      <c r="H92" s="1">
        <f>$C$20/($C$21-$C$22*H93)</f>
        <v>0.39534673185434266</v>
      </c>
      <c r="I92" s="1">
        <f>$C$20/($C$21-$C$22*I93)</f>
        <v>0.39534673185434266</v>
      </c>
      <c r="J92" s="1">
        <f>$C$20/($C$21-$C$22*J93)</f>
        <v>0.39534673185434266</v>
      </c>
      <c r="K92" s="1">
        <f>$C$20/($C$21-$C$22*K93)</f>
        <v>0.39534673185434266</v>
      </c>
      <c r="L92" s="1">
        <f>$C$20/($C$21-$C$22*L93)</f>
        <v>0.39534673185434266</v>
      </c>
      <c r="M92" s="1">
        <f>$C$20/($C$21-$C$22*M93)</f>
        <v>0.39534673185434266</v>
      </c>
      <c r="N92" s="1">
        <f>$C$20/($C$21-$C$22*N93)</f>
        <v>0.39534673185434266</v>
      </c>
      <c r="O92" s="1">
        <f>$C$20/($C$21-$C$22*O93)</f>
        <v>0.39534673185434266</v>
      </c>
      <c r="P92" s="1">
        <f>$C$20/($C$21-$C$22*P93)</f>
        <v>0.39534673185434266</v>
      </c>
      <c r="Q92" s="1">
        <f>$C$20/($C$21-$C$22*Q93)</f>
        <v>0.39534673185434266</v>
      </c>
      <c r="R92" s="1">
        <f>$C$20/($C$21-$C$22*R93)</f>
        <v>0.39534673185434266</v>
      </c>
      <c r="S92" s="1">
        <f>$C$20/($C$21-$C$22*S93)</f>
        <v>0.39534673185434266</v>
      </c>
      <c r="T92" s="1">
        <f>$C$20/($C$21-$C$22*T93)</f>
        <v>0.39534673185434266</v>
      </c>
      <c r="U92" s="1">
        <f>$C$20/($C$21-$C$22*U93)</f>
        <v>0.39534673185434266</v>
      </c>
      <c r="V92" s="1">
        <f>$C$20/($C$21-$C$22*V93)</f>
        <v>0.39534673185434266</v>
      </c>
      <c r="W92" s="1">
        <f>$C$20/($C$21-$C$22*W93)</f>
        <v>0.39534673185434266</v>
      </c>
      <c r="X92" s="1">
        <f>$C$20/($C$21-$C$22*X93)</f>
        <v>0.39534673185434266</v>
      </c>
      <c r="Y92" s="1">
        <f>$C$20/($C$21-$C$22*Y93)</f>
        <v>0.39534673185434266</v>
      </c>
      <c r="Z92" s="1">
        <f>$C$20/($C$21-$C$22*Z93)</f>
        <v>0.39534673185434266</v>
      </c>
      <c r="AA92" s="1">
        <f>$C$20/($C$21-$C$22*AA93)</f>
        <v>0.39534673185434266</v>
      </c>
      <c r="AB92" s="1">
        <f>$C$20/($C$21-$C$22*AB93)</f>
        <v>0.39534673185434266</v>
      </c>
      <c r="AC92" s="1">
        <f>$C$20/($C$21-$C$22*AC93)</f>
        <v>0.39534673185434266</v>
      </c>
      <c r="AD92" s="1">
        <f>$C$20/($C$21-$C$22*AD93)</f>
        <v>0.39534673185434266</v>
      </c>
      <c r="AE92" s="1">
        <f>$C$20/($C$21-$C$22*AE93)</f>
        <v>0.39534673185434266</v>
      </c>
      <c r="AF92" s="1">
        <f>$C$20/($C$21-$C$22*AF93)</f>
        <v>0.39534673185434266</v>
      </c>
      <c r="AG92" s="1">
        <f>$C$20/($C$21-$C$22*AG93)</f>
        <v>0.39534673185434266</v>
      </c>
      <c r="AH92" s="1">
        <f>$C$20/($C$21-$C$22*AH93)</f>
        <v>0.39534673185434266</v>
      </c>
      <c r="AI92" s="1">
        <f>$C$20/($C$21-$C$22*AI93)</f>
        <v>0.39534673185434266</v>
      </c>
      <c r="AJ92" s="1">
        <f>$C$20/($C$21-$C$22*AJ93)</f>
        <v>0.39534673185434266</v>
      </c>
      <c r="AK92" s="2"/>
      <c r="AL92" s="2"/>
      <c r="AM92" s="1">
        <f>(AM93*$C$22-BS92)/($C$21-$C$22*G93)</f>
        <v>181.39598044369723</v>
      </c>
      <c r="AN92" s="1">
        <f>(AN93*$C$22-BT92)/($C$21-$C$22*H93)</f>
        <v>176.13663287024985</v>
      </c>
      <c r="AO92" s="1">
        <f>(AO93*$C$22-BU92)/($C$21-$C$22*I93)</f>
        <v>170.89006332322592</v>
      </c>
      <c r="AP92" s="1">
        <f>(AP93*$C$22-BV92)/($C$21-$C$22*J93)</f>
        <v>165.66889970571737</v>
      </c>
      <c r="AQ92" s="1">
        <f>(AQ93*$C$22-BW92)/($C$21-$C$22*K93)</f>
        <v>160.48547144883227</v>
      </c>
      <c r="AR92" s="1">
        <f>(AR93*$C$22-BX92)/($C$21-$C$22*L93)</f>
        <v>155.35166469091004</v>
      </c>
      <c r="AS92" s="1">
        <f>(AS93*$C$22-BY92)/($C$21-$C$22*M93)</f>
        <v>150.27878269509677</v>
      </c>
      <c r="AT92" s="1">
        <f>(AT93*$C$22-BZ92)/($C$21-$C$22*N93)</f>
        <v>145.27741315243301</v>
      </c>
      <c r="AU92" s="1">
        <f>(AU93*$C$22-CA92)/($C$21-$C$22*O93)</f>
        <v>140.35730393445698</v>
      </c>
      <c r="AV92" s="1">
        <f>(AV93*$C$22-CB92)/($C$21-$C$22*P93)</f>
        <v>135.5272487574517</v>
      </c>
      <c r="AW92" s="1">
        <f>(AW93*$C$22-CC92)/($C$21-$C$22*Q93)</f>
        <v>130.79498410119837</v>
      </c>
      <c r="AX92" s="1">
        <f>(AX93*$C$22-CD92)/($C$21-$C$22*R93)</f>
        <v>126.16709858997012</v>
      </c>
      <c r="AY92" s="1">
        <f>(AY93*$C$22-CE92)/($C$21-$C$22*S93)</f>
        <v>121.64895589425734</v>
      </c>
      <c r="AZ92" s="1">
        <f>(AZ93*$C$22-CF92)/($C$21-$C$22*T93)</f>
        <v>117.24463205024144</v>
      </c>
      <c r="BA92" s="1">
        <f>(BA93*$C$22-CG92)/($C$21-$C$22*U93)</f>
        <v>112.95686792236766</v>
      </c>
      <c r="BB92" s="1">
        <f>(BB93*$C$22-CH92)/($C$21-$C$22*V93)</f>
        <v>108.78703735464242</v>
      </c>
      <c r="BC92" s="1">
        <f>(BC93*$C$22-CI92)/($C$21-$C$22*W93)</f>
        <v>104.7351313707053</v>
      </c>
      <c r="BD92" s="1">
        <f>(BD93*$C$22-CJ92)/($C$21-$C$22*X93)</f>
        <v>100.79975859355365</v>
      </c>
      <c r="BE92" s="1">
        <f>(BE93*$C$22-CK92)/($C$21-$C$22*Y93)</f>
        <v>96.978161865294013</v>
      </c>
      <c r="BF92" s="1">
        <f>(BF93*$C$22-CL92)/($C$21-$C$22*Z93)</f>
        <v>93.266250857708457</v>
      </c>
      <c r="BG92" s="1">
        <f>(BG93*$C$22-CM92)/($C$21-$C$22*AA93)</f>
        <v>89.658650277961257</v>
      </c>
      <c r="BH92" s="1">
        <f>(BH93*$C$22-CN92)/($C$21-$C$22*AB93)</f>
        <v>86.148763092573276</v>
      </c>
      <c r="BI92" s="1">
        <f>(BI93*$C$22-CO92)/($C$21-$C$22*AC93)</f>
        <v>82.728848018901829</v>
      </c>
      <c r="BJ92" s="1">
        <f>(BJ93*$C$22-CP92)/($C$21-$C$22*AD93)</f>
        <v>79.390110368723029</v>
      </c>
      <c r="BK92" s="1">
        <f>(BK93*$C$22-CQ92)/($C$21-$C$22*AE93)</f>
        <v>76.122805174925816</v>
      </c>
      <c r="BL92" s="1">
        <f>(BL93*$C$22-CR92)/($C$21-$C$22*AF93)</f>
        <v>72.916351391456587</v>
      </c>
      <c r="BM92" s="1">
        <f>(BM93*$C$22-CS92)/($C$21-$C$22*AG93)</f>
        <v>69.759455830004001</v>
      </c>
      <c r="BN92" s="1">
        <f>(BN93*$C$22-CT92)/($C$21-$C$22*AH93)</f>
        <v>66.64024538582305</v>
      </c>
      <c r="BO92" s="1">
        <f>(BO93*$C$22-CU92)/($C$21-$C$22*AI93)</f>
        <v>63.546406010723324</v>
      </c>
      <c r="BP92" s="1">
        <f>(BP93*$C$22-CV92)/($C$21-$C$22*AJ93)</f>
        <v>60.465326814565742</v>
      </c>
      <c r="BQ92" s="2"/>
      <c r="BR92" s="2"/>
      <c r="BS92" s="1">
        <f t="shared" si="34"/>
        <v>-1076400000</v>
      </c>
      <c r="BT92" s="1">
        <f t="shared" si="59"/>
        <v>-1045191140.1663288</v>
      </c>
      <c r="BU92" s="1">
        <f t="shared" si="60"/>
        <v>-1014058104.8774379</v>
      </c>
      <c r="BV92" s="1">
        <f t="shared" si="61"/>
        <v>-983075827.84936118</v>
      </c>
      <c r="BW92" s="1">
        <f t="shared" si="62"/>
        <v>-952317471.67154646</v>
      </c>
      <c r="BX92" s="1">
        <f t="shared" si="63"/>
        <v>-921853568.44331217</v>
      </c>
      <c r="BY92" s="1">
        <f t="shared" si="64"/>
        <v>-891751191.49462187</v>
      </c>
      <c r="BZ92" s="1">
        <f t="shared" si="65"/>
        <v>-862073167.96535087</v>
      </c>
      <c r="CA92" s="1">
        <f t="shared" si="66"/>
        <v>-832877341.52379847</v>
      </c>
      <c r="CB92" s="1">
        <f t="shared" si="67"/>
        <v>-804215893.90069532</v>
      </c>
      <c r="CC92" s="1">
        <f t="shared" si="68"/>
        <v>-776134733.20721388</v>
      </c>
      <c r="CD92" s="1">
        <f t="shared" si="69"/>
        <v>-748672956.20365858</v>
      </c>
      <c r="CE92" s="1">
        <f t="shared" si="70"/>
        <v>-721862390.79989672</v>
      </c>
      <c r="CF92" s="1">
        <f t="shared" si="38"/>
        <v>-695727224.11041105</v>
      </c>
      <c r="CG92" s="1">
        <f t="shared" si="39"/>
        <v>-670283720.3681885</v>
      </c>
      <c r="CH92" s="1">
        <f t="shared" si="40"/>
        <v>-645540031.93517733</v>
      </c>
      <c r="CI92" s="1">
        <f t="shared" si="41"/>
        <v>-621496105.54584002</v>
      </c>
      <c r="CJ92" s="1">
        <f t="shared" si="42"/>
        <v>-598143684.79779136</v>
      </c>
      <c r="CK92" s="1">
        <f t="shared" si="43"/>
        <v>-575466408.77305901</v>
      </c>
      <c r="CL92" s="1">
        <f t="shared" si="44"/>
        <v>-553440005.54851091</v>
      </c>
      <c r="CM92" s="1">
        <f t="shared" si="45"/>
        <v>-532032578.24752295</v>
      </c>
      <c r="CN92" s="1">
        <f t="shared" si="46"/>
        <v>-511204980.20973581</v>
      </c>
      <c r="CO92" s="1">
        <f t="shared" si="47"/>
        <v>-490911274.82389599</v>
      </c>
      <c r="CP92" s="1">
        <f t="shared" si="48"/>
        <v>-471099274.59179646</v>
      </c>
      <c r="CQ92" s="1">
        <f t="shared" si="49"/>
        <v>-451711153.07994789</v>
      </c>
      <c r="CR92" s="1">
        <f t="shared" si="50"/>
        <v>-432684122.57969075</v>
      </c>
      <c r="CS92" s="1">
        <f t="shared" si="51"/>
        <v>-413951169.54492223</v>
      </c>
      <c r="CT92" s="1">
        <f t="shared" si="52"/>
        <v>-395441839.21740425</v>
      </c>
      <c r="CU92" s="1">
        <f t="shared" si="35"/>
        <v>-377083060.28960443</v>
      </c>
      <c r="CV92" s="1">
        <f t="shared" si="32"/>
        <v>-358800000</v>
      </c>
      <c r="CW92" s="2"/>
      <c r="CX92" s="2"/>
      <c r="CY92" s="1">
        <f t="shared" si="37"/>
        <v>300</v>
      </c>
      <c r="CZ92" s="1">
        <f t="shared" si="71"/>
        <v>291.30187853019197</v>
      </c>
      <c r="DA92" s="1">
        <f t="shared" si="72"/>
        <v>282.62488987665495</v>
      </c>
      <c r="DB92" s="1">
        <f t="shared" si="73"/>
        <v>273.98991857563021</v>
      </c>
      <c r="DC92" s="1">
        <f t="shared" si="74"/>
        <v>265.41735553833519</v>
      </c>
      <c r="DD92" s="1">
        <f t="shared" si="75"/>
        <v>256.92685854049955</v>
      </c>
      <c r="DE92" s="1">
        <f t="shared" si="76"/>
        <v>248.53712137531272</v>
      </c>
      <c r="DF92" s="1">
        <f t="shared" si="77"/>
        <v>240.26565439391049</v>
      </c>
      <c r="DG92" s="1">
        <f t="shared" si="78"/>
        <v>232.12857902001076</v>
      </c>
      <c r="DH92" s="1">
        <f t="shared" si="79"/>
        <v>224.14043865682703</v>
      </c>
      <c r="DI92" s="1">
        <f t="shared" si="80"/>
        <v>216.31402820713879</v>
      </c>
      <c r="DJ92" s="1">
        <f t="shared" si="81"/>
        <v>208.66024420391824</v>
      </c>
      <c r="DK92" s="1">
        <f t="shared" si="82"/>
        <v>201.18795730208944</v>
      </c>
      <c r="DL92" s="1">
        <f t="shared" si="83"/>
        <v>193.90390861494177</v>
      </c>
      <c r="DM92" s="1">
        <f t="shared" si="84"/>
        <v>186.81263109481287</v>
      </c>
      <c r="DN92" s="1">
        <f t="shared" si="85"/>
        <v>179.91639686041731</v>
      </c>
      <c r="DO92" s="1">
        <f t="shared" si="86"/>
        <v>173.21519106628767</v>
      </c>
      <c r="DP92" s="1">
        <f t="shared" si="87"/>
        <v>166.70671259693182</v>
      </c>
      <c r="DQ92" s="1">
        <f t="shared" si="88"/>
        <v>160.38640155324944</v>
      </c>
      <c r="DR92" s="1">
        <f t="shared" si="89"/>
        <v>154.24749318520372</v>
      </c>
      <c r="DS92" s="1">
        <f t="shared" si="90"/>
        <v>148.28109761636651</v>
      </c>
      <c r="DT92" s="1">
        <f t="shared" si="91"/>
        <v>142.47630440628092</v>
      </c>
      <c r="DU92" s="1">
        <f t="shared" si="92"/>
        <v>136.82031070900115</v>
      </c>
      <c r="DV92" s="1">
        <f t="shared" si="93"/>
        <v>131.29857151387864</v>
      </c>
      <c r="DW92" s="1">
        <f t="shared" si="53"/>
        <v>125.89497020065437</v>
      </c>
      <c r="DX92" s="1">
        <f t="shared" si="54"/>
        <v>120.59200740794057</v>
      </c>
      <c r="DY92" s="1">
        <f t="shared" si="55"/>
        <v>115.37100600471635</v>
      </c>
      <c r="DZ92" s="1">
        <f t="shared" si="56"/>
        <v>110.21232977073699</v>
      </c>
      <c r="EA92" s="1">
        <f t="shared" si="57"/>
        <v>105.0956132356757</v>
      </c>
      <c r="EB92" s="1">
        <f t="shared" si="58"/>
        <v>100.00000000000001</v>
      </c>
    </row>
    <row r="93" spans="4:132">
      <c r="D93" s="2"/>
      <c r="E93" s="2"/>
      <c r="F93" s="1">
        <v>4</v>
      </c>
      <c r="G93" s="1">
        <f>$C$20/($C$21-$C$22*G94)</f>
        <v>0.39804206615396576</v>
      </c>
      <c r="H93" s="1">
        <f>$C$20/($C$21-$C$22*H94)</f>
        <v>0.39804206615396576</v>
      </c>
      <c r="I93" s="1">
        <f>$C$20/($C$21-$C$22*I94)</f>
        <v>0.39804206615396576</v>
      </c>
      <c r="J93" s="1">
        <f>$C$20/($C$21-$C$22*J94)</f>
        <v>0.39804206615396576</v>
      </c>
      <c r="K93" s="1">
        <f>$C$20/($C$21-$C$22*K94)</f>
        <v>0.39804206615396576</v>
      </c>
      <c r="L93" s="1">
        <f>$C$20/($C$21-$C$22*L94)</f>
        <v>0.39804206615396576</v>
      </c>
      <c r="M93" s="1">
        <f>$C$20/($C$21-$C$22*M94)</f>
        <v>0.39804206615396576</v>
      </c>
      <c r="N93" s="1">
        <f>$C$20/($C$21-$C$22*N94)</f>
        <v>0.39804206615396576</v>
      </c>
      <c r="O93" s="1">
        <f>$C$20/($C$21-$C$22*O94)</f>
        <v>0.39804206615396576</v>
      </c>
      <c r="P93" s="1">
        <f>$C$20/($C$21-$C$22*P94)</f>
        <v>0.39804206615396576</v>
      </c>
      <c r="Q93" s="1">
        <f>$C$20/($C$21-$C$22*Q94)</f>
        <v>0.39804206615396576</v>
      </c>
      <c r="R93" s="1">
        <f>$C$20/($C$21-$C$22*R94)</f>
        <v>0.39804206615396576</v>
      </c>
      <c r="S93" s="1">
        <f>$C$20/($C$21-$C$22*S94)</f>
        <v>0.39804206615396576</v>
      </c>
      <c r="T93" s="1">
        <f>$C$20/($C$21-$C$22*T94)</f>
        <v>0.39804206615396576</v>
      </c>
      <c r="U93" s="1">
        <f>$C$20/($C$21-$C$22*U94)</f>
        <v>0.39804206615396576</v>
      </c>
      <c r="V93" s="1">
        <f>$C$20/($C$21-$C$22*V94)</f>
        <v>0.39804206615396576</v>
      </c>
      <c r="W93" s="1">
        <f>$C$20/($C$21-$C$22*W94)</f>
        <v>0.39804206615396576</v>
      </c>
      <c r="X93" s="1">
        <f>$C$20/($C$21-$C$22*X94)</f>
        <v>0.39804206615396576</v>
      </c>
      <c r="Y93" s="1">
        <f>$C$20/($C$21-$C$22*Y94)</f>
        <v>0.39804206615396576</v>
      </c>
      <c r="Z93" s="1">
        <f>$C$20/($C$21-$C$22*Z94)</f>
        <v>0.39804206615396576</v>
      </c>
      <c r="AA93" s="1">
        <f>$C$20/($C$21-$C$22*AA94)</f>
        <v>0.39804206615396576</v>
      </c>
      <c r="AB93" s="1">
        <f>$C$20/($C$21-$C$22*AB94)</f>
        <v>0.39804206615396576</v>
      </c>
      <c r="AC93" s="1">
        <f>$C$20/($C$21-$C$22*AC94)</f>
        <v>0.39804206615396576</v>
      </c>
      <c r="AD93" s="1">
        <f>$C$20/($C$21-$C$22*AD94)</f>
        <v>0.39804206615396576</v>
      </c>
      <c r="AE93" s="1">
        <f>$C$20/($C$21-$C$22*AE94)</f>
        <v>0.39804206615396576</v>
      </c>
      <c r="AF93" s="1">
        <f>$C$20/($C$21-$C$22*AF94)</f>
        <v>0.39804206615396576</v>
      </c>
      <c r="AG93" s="1">
        <f>$C$20/($C$21-$C$22*AG94)</f>
        <v>0.39804206615396576</v>
      </c>
      <c r="AH93" s="1">
        <f>$C$20/($C$21-$C$22*AH94)</f>
        <v>0.39804206615396576</v>
      </c>
      <c r="AI93" s="1">
        <f>$C$20/($C$21-$C$22*AI94)</f>
        <v>0.39804206615396576</v>
      </c>
      <c r="AJ93" s="1">
        <f>$C$20/($C$21-$C$22*AJ94)</f>
        <v>0.39804206615396576</v>
      </c>
      <c r="AK93" s="2"/>
      <c r="AL93" s="2"/>
      <c r="AM93" s="1">
        <f>(AM94*$C$22-BS93)/($C$21-$C$22*G94)</f>
        <v>180.5873801538103</v>
      </c>
      <c r="AN93" s="1">
        <f>(AN94*$C$22-BT93)/($C$21-$C$22*H94)</f>
        <v>175.35147692550282</v>
      </c>
      <c r="AO93" s="1">
        <f>(AO94*$C$22-BU93)/($C$21-$C$22*I94)</f>
        <v>170.12829476361424</v>
      </c>
      <c r="AP93" s="1">
        <f>(AP94*$C$22-BV93)/($C$21-$C$22*J94)</f>
        <v>164.93040528042957</v>
      </c>
      <c r="AQ93" s="1">
        <f>(AQ94*$C$22-BW93)/($C$21-$C$22*K94)</f>
        <v>159.77008294673456</v>
      </c>
      <c r="AR93" s="1">
        <f>(AR94*$C$22-BX93)/($C$21-$C$22*L94)</f>
        <v>154.65916091659145</v>
      </c>
      <c r="AS93" s="1">
        <f>(AS94*$C$22-BY93)/($C$21-$C$22*M94)</f>
        <v>149.60889206712432</v>
      </c>
      <c r="AT93" s="1">
        <f>(AT94*$C$22-BZ93)/($C$21-$C$22*N94)</f>
        <v>144.62981689312377</v>
      </c>
      <c r="AU93" s="1">
        <f>(AU94*$C$22-CA93)/($C$21-$C$22*O94)</f>
        <v>139.7316398135016</v>
      </c>
      <c r="AV93" s="1">
        <f>(AV94*$C$22-CB93)/($C$21-$C$22*P94)</f>
        <v>134.92311534520744</v>
      </c>
      <c r="AW93" s="1">
        <f>(AW94*$C$22-CC93)/($C$21-$C$22*Q94)</f>
        <v>130.21194548148205</v>
      </c>
      <c r="AX93" s="1">
        <f>(AX94*$C$22-CD93)/($C$21-$C$22*R94)</f>
        <v>125.60468947679959</v>
      </c>
      <c r="AY93" s="1">
        <f>(AY94*$C$22-CE93)/($C$21-$C$22*S94)</f>
        <v>121.10668709226991</v>
      </c>
      <c r="AZ93" s="1">
        <f>(AZ94*$C$22-CF93)/($C$21-$C$22*T94)</f>
        <v>116.7219961945206</v>
      </c>
      <c r="BA93" s="1">
        <f>(BA94*$C$22-CG93)/($C$21-$C$22*U94)</f>
        <v>112.45334543017498</v>
      </c>
      <c r="BB93" s="1">
        <f>(BB94*$C$22-CH93)/($C$21-$C$22*V94)</f>
        <v>108.30210251911994</v>
      </c>
      <c r="BC93" s="1">
        <f>(BC94*$C$22-CI93)/($C$21-$C$22*W94)</f>
        <v>104.26825852500859</v>
      </c>
      <c r="BD93" s="1">
        <f>(BD94*$C$22-CJ93)/($C$21-$C$22*X94)</f>
        <v>100.35042827311375</v>
      </c>
      <c r="BE93" s="1">
        <f>(BE94*$C$22-CK93)/($C$21-$C$22*Y94)</f>
        <v>96.545866895994436</v>
      </c>
      <c r="BF93" s="1">
        <f>(BF94*$C$22-CL93)/($C$21-$C$22*Z94)</f>
        <v>92.850502298695503</v>
      </c>
      <c r="BG93" s="1">
        <f>(BG94*$C$22-CM93)/($C$21-$C$22*AA94)</f>
        <v>89.258983149570128</v>
      </c>
      <c r="BH93" s="1">
        <f>(BH94*$C$22-CN93)/($C$21-$C$22*AB94)</f>
        <v>85.764741822423488</v>
      </c>
      <c r="BI93" s="1">
        <f>(BI94*$C$22-CO93)/($C$21-$C$22*AC94)</f>
        <v>82.360071542562778</v>
      </c>
      <c r="BJ93" s="1">
        <f>(BJ94*$C$22-CP93)/($C$21-$C$22*AD94)</f>
        <v>79.036216825430188</v>
      </c>
      <c r="BK93" s="1">
        <f>(BK94*$C$22-CQ93)/($C$21-$C$22*AE94)</f>
        <v>75.783476143593987</v>
      </c>
      <c r="BL93" s="1">
        <f>(BL94*$C$22-CR93)/($C$21-$C$22*AF94)</f>
        <v>72.591315617629576</v>
      </c>
      <c r="BM93" s="1">
        <f>(BM94*$C$22-CS93)/($C$21-$C$22*AG94)</f>
        <v>69.448492400337472</v>
      </c>
      <c r="BN93" s="1">
        <f>(BN94*$C$22-CT93)/($C$21-$C$22*AH94)</f>
        <v>66.343186313150625</v>
      </c>
      <c r="BO93" s="1">
        <f>(BO94*$C$22-CU93)/($C$21-$C$22*AI94)</f>
        <v>63.263138199629296</v>
      </c>
      <c r="BP93" s="1">
        <f>(BP94*$C$22-CV93)/($C$21-$C$22*AJ94)</f>
        <v>60.195793384603434</v>
      </c>
      <c r="BQ93" s="2"/>
      <c r="BR93" s="2"/>
      <c r="BS93" s="1">
        <f t="shared" si="34"/>
        <v>-1076400000</v>
      </c>
      <c r="BT93" s="1">
        <f t="shared" si="59"/>
        <v>-1045191140.1663288</v>
      </c>
      <c r="BU93" s="1">
        <f t="shared" si="60"/>
        <v>-1014058104.8774382</v>
      </c>
      <c r="BV93" s="1">
        <f t="shared" si="61"/>
        <v>-983075827.84936142</v>
      </c>
      <c r="BW93" s="1">
        <f t="shared" si="62"/>
        <v>-952317471.6715467</v>
      </c>
      <c r="BX93" s="1">
        <f t="shared" si="63"/>
        <v>-921853568.44331241</v>
      </c>
      <c r="BY93" s="1">
        <f t="shared" si="64"/>
        <v>-891751191.49462211</v>
      </c>
      <c r="BZ93" s="1">
        <f t="shared" si="65"/>
        <v>-862073167.96535122</v>
      </c>
      <c r="CA93" s="1">
        <f t="shared" si="66"/>
        <v>-832877341.5237987</v>
      </c>
      <c r="CB93" s="1">
        <f t="shared" si="67"/>
        <v>-804215893.90069556</v>
      </c>
      <c r="CC93" s="1">
        <f t="shared" si="68"/>
        <v>-776134733.207214</v>
      </c>
      <c r="CD93" s="1">
        <f t="shared" si="69"/>
        <v>-748672956.2036587</v>
      </c>
      <c r="CE93" s="1">
        <f t="shared" si="70"/>
        <v>-721862390.79989672</v>
      </c>
      <c r="CF93" s="1">
        <f t="shared" si="38"/>
        <v>-695727224.11041105</v>
      </c>
      <c r="CG93" s="1">
        <f t="shared" si="39"/>
        <v>-670283720.3681885</v>
      </c>
      <c r="CH93" s="1">
        <f t="shared" si="40"/>
        <v>-645540031.93517733</v>
      </c>
      <c r="CI93" s="1">
        <f t="shared" si="41"/>
        <v>-621496105.54584014</v>
      </c>
      <c r="CJ93" s="1">
        <f t="shared" si="42"/>
        <v>-598143684.79779136</v>
      </c>
      <c r="CK93" s="1">
        <f t="shared" si="43"/>
        <v>-575466408.77305901</v>
      </c>
      <c r="CL93" s="1">
        <f t="shared" si="44"/>
        <v>-553440005.54851091</v>
      </c>
      <c r="CM93" s="1">
        <f t="shared" si="45"/>
        <v>-532032578.24752313</v>
      </c>
      <c r="CN93" s="1">
        <f t="shared" si="46"/>
        <v>-511204980.20973593</v>
      </c>
      <c r="CO93" s="1">
        <f t="shared" si="47"/>
        <v>-490911274.82389611</v>
      </c>
      <c r="CP93" s="1">
        <f t="shared" si="48"/>
        <v>-471099274.59179658</v>
      </c>
      <c r="CQ93" s="1">
        <f t="shared" si="49"/>
        <v>-451711153.07994801</v>
      </c>
      <c r="CR93" s="1">
        <f t="shared" si="50"/>
        <v>-432684122.57969075</v>
      </c>
      <c r="CS93" s="1">
        <f t="shared" si="51"/>
        <v>-413951169.54492229</v>
      </c>
      <c r="CT93" s="1">
        <f t="shared" si="52"/>
        <v>-395441839.21740431</v>
      </c>
      <c r="CU93" s="1">
        <f t="shared" si="35"/>
        <v>-377083060.28960449</v>
      </c>
      <c r="CV93" s="1">
        <f t="shared" si="32"/>
        <v>-358800000</v>
      </c>
      <c r="CW93" s="2"/>
      <c r="CX93" s="2"/>
      <c r="CY93" s="1">
        <f t="shared" si="37"/>
        <v>300</v>
      </c>
      <c r="CZ93" s="1">
        <f t="shared" si="71"/>
        <v>291.30187853019197</v>
      </c>
      <c r="DA93" s="1">
        <f t="shared" si="72"/>
        <v>282.624889876655</v>
      </c>
      <c r="DB93" s="1">
        <f t="shared" si="73"/>
        <v>273.98991857563027</v>
      </c>
      <c r="DC93" s="1">
        <f t="shared" si="74"/>
        <v>265.41735553833524</v>
      </c>
      <c r="DD93" s="1">
        <f t="shared" si="75"/>
        <v>256.92685854049955</v>
      </c>
      <c r="DE93" s="1">
        <f t="shared" si="76"/>
        <v>248.53712137531278</v>
      </c>
      <c r="DF93" s="1">
        <f t="shared" si="77"/>
        <v>240.26565439391055</v>
      </c>
      <c r="DG93" s="1">
        <f t="shared" si="78"/>
        <v>232.12857902001079</v>
      </c>
      <c r="DH93" s="1">
        <f t="shared" si="79"/>
        <v>224.14043865682709</v>
      </c>
      <c r="DI93" s="1">
        <f t="shared" si="80"/>
        <v>216.31402820713879</v>
      </c>
      <c r="DJ93" s="1">
        <f t="shared" si="81"/>
        <v>208.66024420391827</v>
      </c>
      <c r="DK93" s="1">
        <f t="shared" si="82"/>
        <v>201.18795730208944</v>
      </c>
      <c r="DL93" s="1">
        <f t="shared" si="83"/>
        <v>193.90390861494177</v>
      </c>
      <c r="DM93" s="1">
        <f t="shared" si="84"/>
        <v>186.8126310948129</v>
      </c>
      <c r="DN93" s="1">
        <f t="shared" si="85"/>
        <v>179.91639686041731</v>
      </c>
      <c r="DO93" s="1">
        <f t="shared" si="86"/>
        <v>173.21519106628767</v>
      </c>
      <c r="DP93" s="1">
        <f t="shared" si="87"/>
        <v>166.70671259693182</v>
      </c>
      <c r="DQ93" s="1">
        <f t="shared" si="88"/>
        <v>160.38640155324947</v>
      </c>
      <c r="DR93" s="1">
        <f t="shared" si="89"/>
        <v>154.24749318520375</v>
      </c>
      <c r="DS93" s="1">
        <f t="shared" si="90"/>
        <v>148.28109761636654</v>
      </c>
      <c r="DT93" s="1">
        <f t="shared" si="91"/>
        <v>142.47630440628092</v>
      </c>
      <c r="DU93" s="1">
        <f t="shared" si="92"/>
        <v>136.82031070900115</v>
      </c>
      <c r="DV93" s="1">
        <f t="shared" si="93"/>
        <v>131.29857151387867</v>
      </c>
      <c r="DW93" s="1">
        <f t="shared" si="53"/>
        <v>125.8949702006544</v>
      </c>
      <c r="DX93" s="1">
        <f t="shared" si="54"/>
        <v>120.59200740794059</v>
      </c>
      <c r="DY93" s="1">
        <f t="shared" si="55"/>
        <v>115.37100600471635</v>
      </c>
      <c r="DZ93" s="1">
        <f t="shared" si="56"/>
        <v>110.212329770737</v>
      </c>
      <c r="EA93" s="1">
        <f t="shared" si="57"/>
        <v>105.09561323567573</v>
      </c>
      <c r="EB93" s="1">
        <f t="shared" si="58"/>
        <v>100.00000000000001</v>
      </c>
    </row>
    <row r="94" spans="4:132">
      <c r="D94" s="2"/>
      <c r="E94" s="2"/>
      <c r="F94" s="1">
        <v>3</v>
      </c>
      <c r="G94" s="1">
        <f>$C$20/($C$21-$C$22*G95)</f>
        <v>0.41517002114434032</v>
      </c>
      <c r="H94" s="1">
        <f>$C$20/($C$21-$C$22*H95)</f>
        <v>0.41517002114434032</v>
      </c>
      <c r="I94" s="1">
        <f>$C$20/($C$21-$C$22*I95)</f>
        <v>0.41517002114434032</v>
      </c>
      <c r="J94" s="1">
        <f>$C$20/($C$21-$C$22*J95)</f>
        <v>0.41517002114434032</v>
      </c>
      <c r="K94" s="1">
        <f>$C$20/($C$21-$C$22*K95)</f>
        <v>0.41517002114434032</v>
      </c>
      <c r="L94" s="1">
        <f>$C$20/($C$21-$C$22*L95)</f>
        <v>0.41517002114434032</v>
      </c>
      <c r="M94" s="1">
        <f>$C$20/($C$21-$C$22*M95)</f>
        <v>0.41517002114434032</v>
      </c>
      <c r="N94" s="1">
        <f>$C$20/($C$21-$C$22*N95)</f>
        <v>0.41517002114434032</v>
      </c>
      <c r="O94" s="1">
        <f>$C$20/($C$21-$C$22*O95)</f>
        <v>0.41517002114434032</v>
      </c>
      <c r="P94" s="1">
        <f>$C$20/($C$21-$C$22*P95)</f>
        <v>0.41517002114434032</v>
      </c>
      <c r="Q94" s="1">
        <f>$C$20/($C$21-$C$22*Q95)</f>
        <v>0.41517002114434032</v>
      </c>
      <c r="R94" s="1">
        <f>$C$20/($C$21-$C$22*R95)</f>
        <v>0.41517002114434032</v>
      </c>
      <c r="S94" s="1">
        <f>$C$20/($C$21-$C$22*S95)</f>
        <v>0.41517002114434032</v>
      </c>
      <c r="T94" s="1">
        <f>$C$20/($C$21-$C$22*T95)</f>
        <v>0.41517002114434032</v>
      </c>
      <c r="U94" s="1">
        <f>$C$20/($C$21-$C$22*U95)</f>
        <v>0.41517002114434032</v>
      </c>
      <c r="V94" s="1">
        <f>$C$20/($C$21-$C$22*V95)</f>
        <v>0.41517002114434032</v>
      </c>
      <c r="W94" s="1">
        <f>$C$20/($C$21-$C$22*W95)</f>
        <v>0.41517002114434032</v>
      </c>
      <c r="X94" s="1">
        <f>$C$20/($C$21-$C$22*X95)</f>
        <v>0.41517002114434032</v>
      </c>
      <c r="Y94" s="1">
        <f>$C$20/($C$21-$C$22*Y95)</f>
        <v>0.41517002114434032</v>
      </c>
      <c r="Z94" s="1">
        <f>$C$20/($C$21-$C$22*Z95)</f>
        <v>0.41517002114434032</v>
      </c>
      <c r="AA94" s="1">
        <f>$C$20/($C$21-$C$22*AA95)</f>
        <v>0.41517002114434032</v>
      </c>
      <c r="AB94" s="1">
        <f>$C$20/($C$21-$C$22*AB95)</f>
        <v>0.41517002114434032</v>
      </c>
      <c r="AC94" s="1">
        <f>$C$20/($C$21-$C$22*AC95)</f>
        <v>0.41517002114434032</v>
      </c>
      <c r="AD94" s="1">
        <f>$C$20/($C$21-$C$22*AD95)</f>
        <v>0.41517002114434032</v>
      </c>
      <c r="AE94" s="1">
        <f>$C$20/($C$21-$C$22*AE95)</f>
        <v>0.41517002114434032</v>
      </c>
      <c r="AF94" s="1">
        <f>$C$20/($C$21-$C$22*AF95)</f>
        <v>0.41517002114434032</v>
      </c>
      <c r="AG94" s="1">
        <f>$C$20/($C$21-$C$22*AG95)</f>
        <v>0.41517002114434032</v>
      </c>
      <c r="AH94" s="1">
        <f>$C$20/($C$21-$C$22*AH95)</f>
        <v>0.41517002114434032</v>
      </c>
      <c r="AI94" s="1">
        <f>$C$20/($C$21-$C$22*AI95)</f>
        <v>0.41517002114434032</v>
      </c>
      <c r="AJ94" s="1">
        <f>$C$20/($C$21-$C$22*AJ95)</f>
        <v>0.41517002114434032</v>
      </c>
      <c r="AK94" s="2"/>
      <c r="AL94" s="2"/>
      <c r="AM94" s="1">
        <f>(AM95*$C$22-BS94)/($C$21-$C$22*G95)</f>
        <v>175.44899365669792</v>
      </c>
      <c r="AN94" s="1">
        <f>(AN95*$C$22-BT94)/($C$21-$C$22*H95)</f>
        <v>170.36207146142613</v>
      </c>
      <c r="AO94" s="1">
        <f>(AO95*$C$22-BU94)/($C$21-$C$22*I95)</f>
        <v>165.28750837064729</v>
      </c>
      <c r="AP94" s="1">
        <f>(AP95*$C$22-BV94)/($C$21-$C$22*J95)</f>
        <v>160.23751828724977</v>
      </c>
      <c r="AQ94" s="1">
        <f>(AQ95*$C$22-BW94)/($C$21-$C$22*K95)</f>
        <v>155.22402642740968</v>
      </c>
      <c r="AR94" s="1">
        <f>(AR95*$C$22-BX94)/($C$21-$C$22*L95)</f>
        <v>150.25852924769143</v>
      </c>
      <c r="AS94" s="1">
        <f>(AS95*$C$22-BY94)/($C$21-$C$22*M95)</f>
        <v>145.35195943877068</v>
      </c>
      <c r="AT94" s="1">
        <f>(AT95*$C$22-BZ94)/($C$21-$C$22*N95)</f>
        <v>140.51455757893197</v>
      </c>
      <c r="AU94" s="1">
        <f>(AU95*$C$22-CA94)/($C$21-$C$22*O95)</f>
        <v>135.75575196006724</v>
      </c>
      <c r="AV94" s="1">
        <f>(AV95*$C$22-CB94)/($C$21-$C$22*P95)</f>
        <v>131.0840480003705</v>
      </c>
      <c r="AW94" s="1">
        <f>(AW95*$C$22-CC94)/($C$21-$C$22*Q95)</f>
        <v>126.50692854256356</v>
      </c>
      <c r="AX94" s="1">
        <f>(AX95*$C$22-CD94)/($C$21-$C$22*R95)</f>
        <v>122.03076620579431</v>
      </c>
      <c r="AY94" s="1">
        <f>(AY95*$C$22-CE94)/($C$21-$C$22*S95)</f>
        <v>117.66074881499431</v>
      </c>
      <c r="AZ94" s="1">
        <f>(AZ95*$C$22-CF94)/($C$21-$C$22*T95)</f>
        <v>113.40081877530616</v>
      </c>
      <c r="BA94" s="1">
        <f>(BA95*$C$22-CG94)/($C$21-$C$22*U95)</f>
        <v>109.25362709314957</v>
      </c>
      <c r="BB94" s="1">
        <f>(BB95*$C$22-CH94)/($C$21-$C$22*V95)</f>
        <v>105.22050257166434</v>
      </c>
      <c r="BC94" s="1">
        <f>(BC95*$C$22-CI94)/($C$21-$C$22*W95)</f>
        <v>101.30143652877609</v>
      </c>
      <c r="BD94" s="1">
        <f>(BD95*$C$22-CJ94)/($C$21-$C$22*X95)</f>
        <v>97.495083203160206</v>
      </c>
      <c r="BE94" s="1">
        <f>(BE95*$C$22-CK94)/($C$21-$C$22*Y95)</f>
        <v>93.798775829122249</v>
      </c>
      <c r="BF94" s="1">
        <f>(BF95*$C$22-CL94)/($C$21-$C$22*Z95)</f>
        <v>90.208558178041216</v>
      </c>
      <c r="BG94" s="1">
        <f>(BG95*$C$22-CM94)/($C$21-$C$22*AA95)</f>
        <v>86.719231183673656</v>
      </c>
      <c r="BH94" s="1">
        <f>(BH95*$C$22-CN94)/($C$21-$C$22*AB95)</f>
        <v>83.324414093357802</v>
      </c>
      <c r="BI94" s="1">
        <f>(BI95*$C$22-CO94)/($C$21-$C$22*AC95)</f>
        <v>80.016619418969938</v>
      </c>
      <c r="BJ94" s="1">
        <f>(BJ95*$C$22-CP94)/($C$21-$C$22*AD95)</f>
        <v>76.787340802239996</v>
      </c>
      <c r="BK94" s="1">
        <f>(BK95*$C$22-CQ94)/($C$21-$C$22*AE95)</f>
        <v>73.62715276048263</v>
      </c>
      <c r="BL94" s="1">
        <f>(BL95*$C$22-CR94)/($C$21-$C$22*AF95)</f>
        <v>70.525821142547457</v>
      </c>
      <c r="BM94" s="1">
        <f>(BM95*$C$22-CS94)/($C$21-$C$22*AG95)</f>
        <v>67.472423002294462</v>
      </c>
      <c r="BN94" s="1">
        <f>(BN95*$C$22-CT94)/($C$21-$C$22*AH95)</f>
        <v>64.45547448945311</v>
      </c>
      <c r="BO94" s="1">
        <f>(BO95*$C$22-CU94)/($C$21-$C$22*AI95)</f>
        <v>61.463065266442833</v>
      </c>
      <c r="BP94" s="1">
        <f>(BP95*$C$22-CV94)/($C$21-$C$22*AJ95)</f>
        <v>58.482997885565972</v>
      </c>
      <c r="BQ94" s="2"/>
      <c r="BR94" s="2"/>
      <c r="BS94" s="1">
        <f t="shared" si="34"/>
        <v>-1076400000</v>
      </c>
      <c r="BT94" s="1">
        <f t="shared" si="59"/>
        <v>-1045191140.1663288</v>
      </c>
      <c r="BU94" s="1">
        <f t="shared" si="60"/>
        <v>-1014058104.8774382</v>
      </c>
      <c r="BV94" s="1">
        <f t="shared" si="61"/>
        <v>-983075827.84936142</v>
      </c>
      <c r="BW94" s="1">
        <f t="shared" si="62"/>
        <v>-952317471.6715467</v>
      </c>
      <c r="BX94" s="1">
        <f t="shared" si="63"/>
        <v>-921853568.44331241</v>
      </c>
      <c r="BY94" s="1">
        <f t="shared" si="64"/>
        <v>-891751191.49462211</v>
      </c>
      <c r="BZ94" s="1">
        <f t="shared" si="65"/>
        <v>-862073167.96535122</v>
      </c>
      <c r="CA94" s="1">
        <f t="shared" si="66"/>
        <v>-832877341.5237987</v>
      </c>
      <c r="CB94" s="1">
        <f t="shared" si="67"/>
        <v>-804215893.90069556</v>
      </c>
      <c r="CC94" s="1">
        <f t="shared" si="68"/>
        <v>-776134733.207214</v>
      </c>
      <c r="CD94" s="1">
        <f t="shared" si="69"/>
        <v>-748672956.2036587</v>
      </c>
      <c r="CE94" s="1">
        <f t="shared" si="70"/>
        <v>-721862390.79989672</v>
      </c>
      <c r="CF94" s="1">
        <f t="shared" si="38"/>
        <v>-695727224.11041105</v>
      </c>
      <c r="CG94" s="1">
        <f t="shared" si="39"/>
        <v>-670283720.3681885</v>
      </c>
      <c r="CH94" s="1">
        <f t="shared" si="40"/>
        <v>-645540031.93517733</v>
      </c>
      <c r="CI94" s="1">
        <f t="shared" si="41"/>
        <v>-621496105.54584014</v>
      </c>
      <c r="CJ94" s="1">
        <f t="shared" si="42"/>
        <v>-598143684.79779148</v>
      </c>
      <c r="CK94" s="1">
        <f t="shared" si="43"/>
        <v>-575466408.77305913</v>
      </c>
      <c r="CL94" s="1">
        <f t="shared" si="44"/>
        <v>-553440005.54851103</v>
      </c>
      <c r="CM94" s="1">
        <f t="shared" si="45"/>
        <v>-532032578.24752313</v>
      </c>
      <c r="CN94" s="1">
        <f t="shared" si="46"/>
        <v>-511204980.20973593</v>
      </c>
      <c r="CO94" s="1">
        <f t="shared" si="47"/>
        <v>-490911274.82389611</v>
      </c>
      <c r="CP94" s="1">
        <f t="shared" si="48"/>
        <v>-471099274.5917967</v>
      </c>
      <c r="CQ94" s="1">
        <f t="shared" si="49"/>
        <v>-451711153.07994807</v>
      </c>
      <c r="CR94" s="1">
        <f t="shared" si="50"/>
        <v>-432684122.57969087</v>
      </c>
      <c r="CS94" s="1">
        <f t="shared" si="51"/>
        <v>-413951169.54492235</v>
      </c>
      <c r="CT94" s="1">
        <f t="shared" si="52"/>
        <v>-395441839.21740437</v>
      </c>
      <c r="CU94" s="1">
        <f t="shared" si="35"/>
        <v>-377083060.28960449</v>
      </c>
      <c r="CV94" s="1">
        <f t="shared" si="32"/>
        <v>-358800000</v>
      </c>
      <c r="CW94" s="2"/>
      <c r="CX94" s="2"/>
      <c r="CY94" s="1">
        <f t="shared" si="37"/>
        <v>300</v>
      </c>
      <c r="CZ94" s="1">
        <f t="shared" si="71"/>
        <v>291.30187853019197</v>
      </c>
      <c r="DA94" s="1">
        <f t="shared" si="72"/>
        <v>282.624889876655</v>
      </c>
      <c r="DB94" s="1">
        <f t="shared" si="73"/>
        <v>273.98991857563027</v>
      </c>
      <c r="DC94" s="1">
        <f t="shared" si="74"/>
        <v>265.41735553833519</v>
      </c>
      <c r="DD94" s="1">
        <f t="shared" si="75"/>
        <v>256.92685854049955</v>
      </c>
      <c r="DE94" s="1">
        <f t="shared" si="76"/>
        <v>248.53712137531278</v>
      </c>
      <c r="DF94" s="1">
        <f t="shared" si="77"/>
        <v>240.26565439391058</v>
      </c>
      <c r="DG94" s="1">
        <f t="shared" si="78"/>
        <v>232.12857902001079</v>
      </c>
      <c r="DH94" s="1">
        <f t="shared" si="79"/>
        <v>224.14043865682711</v>
      </c>
      <c r="DI94" s="1">
        <f t="shared" si="80"/>
        <v>216.31402820713879</v>
      </c>
      <c r="DJ94" s="1">
        <f t="shared" si="81"/>
        <v>208.66024420391827</v>
      </c>
      <c r="DK94" s="1">
        <f t="shared" si="82"/>
        <v>201.18795730208942</v>
      </c>
      <c r="DL94" s="1">
        <f t="shared" si="83"/>
        <v>193.90390861494177</v>
      </c>
      <c r="DM94" s="1">
        <f t="shared" si="84"/>
        <v>186.8126310948129</v>
      </c>
      <c r="DN94" s="1">
        <f t="shared" si="85"/>
        <v>179.91639686041731</v>
      </c>
      <c r="DO94" s="1">
        <f t="shared" si="86"/>
        <v>173.2151910662877</v>
      </c>
      <c r="DP94" s="1">
        <f t="shared" si="87"/>
        <v>166.70671259693185</v>
      </c>
      <c r="DQ94" s="1">
        <f t="shared" si="88"/>
        <v>160.38640155324947</v>
      </c>
      <c r="DR94" s="1">
        <f t="shared" si="89"/>
        <v>154.24749318520375</v>
      </c>
      <c r="DS94" s="1">
        <f t="shared" si="90"/>
        <v>148.28109761636654</v>
      </c>
      <c r="DT94" s="1">
        <f t="shared" si="91"/>
        <v>142.47630440628092</v>
      </c>
      <c r="DU94" s="1">
        <f t="shared" si="92"/>
        <v>136.82031070900115</v>
      </c>
      <c r="DV94" s="1">
        <f t="shared" si="93"/>
        <v>131.2985715138787</v>
      </c>
      <c r="DW94" s="1">
        <f t="shared" si="53"/>
        <v>125.89497020065441</v>
      </c>
      <c r="DX94" s="1">
        <f t="shared" si="54"/>
        <v>120.5920074079406</v>
      </c>
      <c r="DY94" s="1">
        <f t="shared" si="55"/>
        <v>115.37100600471636</v>
      </c>
      <c r="DZ94" s="1">
        <f t="shared" si="56"/>
        <v>110.212329770737</v>
      </c>
      <c r="EA94" s="1">
        <f t="shared" si="57"/>
        <v>105.09561323567573</v>
      </c>
      <c r="EB94" s="1">
        <f t="shared" si="58"/>
        <v>100</v>
      </c>
    </row>
    <row r="95" spans="4:132">
      <c r="D95" s="2"/>
      <c r="E95" s="2"/>
      <c r="F95" s="1">
        <v>2</v>
      </c>
      <c r="G95" s="1">
        <f>$C$20/($C$21-$C$22*G96)</f>
        <v>0.51881554595928436</v>
      </c>
      <c r="H95" s="1">
        <f>$C$20/($C$21-$C$22*H96)</f>
        <v>0.51881554595928436</v>
      </c>
      <c r="I95" s="1">
        <f>$C$20/($C$21-$C$22*I96)</f>
        <v>0.51881554595928436</v>
      </c>
      <c r="J95" s="1">
        <f>$C$20/($C$21-$C$22*J96)</f>
        <v>0.51881554595928436</v>
      </c>
      <c r="K95" s="1">
        <f>$C$20/($C$21-$C$22*K96)</f>
        <v>0.51881554595928436</v>
      </c>
      <c r="L95" s="1">
        <f>$C$20/($C$21-$C$22*L96)</f>
        <v>0.51881554595928436</v>
      </c>
      <c r="M95" s="1">
        <f>$C$20/($C$21-$C$22*M96)</f>
        <v>0.51881554595928436</v>
      </c>
      <c r="N95" s="1">
        <f>$C$20/($C$21-$C$22*N96)</f>
        <v>0.51881554595928436</v>
      </c>
      <c r="O95" s="1">
        <f>$C$20/($C$21-$C$22*O96)</f>
        <v>0.51881554595928436</v>
      </c>
      <c r="P95" s="1">
        <f>$C$20/($C$21-$C$22*P96)</f>
        <v>0.51881554595928436</v>
      </c>
      <c r="Q95" s="1">
        <f>$C$20/($C$21-$C$22*Q96)</f>
        <v>0.51881554595928436</v>
      </c>
      <c r="R95" s="1">
        <f>$C$20/($C$21-$C$22*R96)</f>
        <v>0.51881554595928436</v>
      </c>
      <c r="S95" s="1">
        <f>$C$20/($C$21-$C$22*S96)</f>
        <v>0.51881554595928436</v>
      </c>
      <c r="T95" s="1">
        <f>$C$20/($C$21-$C$22*T96)</f>
        <v>0.51881554595928436</v>
      </c>
      <c r="U95" s="1">
        <f>$C$20/($C$21-$C$22*U96)</f>
        <v>0.51881554595928436</v>
      </c>
      <c r="V95" s="1">
        <f>$C$20/($C$21-$C$22*V96)</f>
        <v>0.51881554595928436</v>
      </c>
      <c r="W95" s="1">
        <f>$C$20/($C$21-$C$22*W96)</f>
        <v>0.51881554595928436</v>
      </c>
      <c r="X95" s="1">
        <f>$C$20/($C$21-$C$22*X96)</f>
        <v>0.51881554595928436</v>
      </c>
      <c r="Y95" s="1">
        <f>$C$20/($C$21-$C$22*Y96)</f>
        <v>0.51881554595928436</v>
      </c>
      <c r="Z95" s="1">
        <f>$C$20/($C$21-$C$22*Z96)</f>
        <v>0.51881554595928436</v>
      </c>
      <c r="AA95" s="1">
        <f>$C$20/($C$21-$C$22*AA96)</f>
        <v>0.51881554595928436</v>
      </c>
      <c r="AB95" s="1">
        <f>$C$20/($C$21-$C$22*AB96)</f>
        <v>0.51881554595928436</v>
      </c>
      <c r="AC95" s="1">
        <f>$C$20/($C$21-$C$22*AC96)</f>
        <v>0.51881554595928436</v>
      </c>
      <c r="AD95" s="1">
        <f>$C$20/($C$21-$C$22*AD96)</f>
        <v>0.51881554595928436</v>
      </c>
      <c r="AE95" s="1">
        <f>$C$20/($C$21-$C$22*AE96)</f>
        <v>0.51881554595928436</v>
      </c>
      <c r="AF95" s="1">
        <f>$C$20/($C$21-$C$22*AF96)</f>
        <v>0.51881554595928436</v>
      </c>
      <c r="AG95" s="1">
        <f>$C$20/($C$21-$C$22*AG96)</f>
        <v>0.51881554595928436</v>
      </c>
      <c r="AH95" s="1">
        <f>$C$20/($C$21-$C$22*AH96)</f>
        <v>0.51881554595928436</v>
      </c>
      <c r="AI95" s="1">
        <f>$C$20/($C$21-$C$22*AI96)</f>
        <v>0.51881554595928436</v>
      </c>
      <c r="AJ95" s="1">
        <f>$C$20/($C$21-$C$22*AJ96)</f>
        <v>0.51881554595928436</v>
      </c>
      <c r="AK95" s="2"/>
      <c r="AL95" s="2"/>
      <c r="AM95" s="1">
        <f>(AM96*$C$22-BS95)/($C$21-$C$22*G96)</f>
        <v>144.3553362122147</v>
      </c>
      <c r="AN95" s="1">
        <f>(AN96*$C$22-BT95)/($C$21-$C$22*H96)</f>
        <v>140.1699353815853</v>
      </c>
      <c r="AO95" s="1">
        <f>(AO96*$C$22-BU95)/($C$21-$C$22*I96)</f>
        <v>135.99470333361563</v>
      </c>
      <c r="AP95" s="1">
        <f>(AP96*$C$22-BV95)/($C$21-$C$22*J96)</f>
        <v>131.8396893824748</v>
      </c>
      <c r="AQ95" s="1">
        <f>(AQ96*$C$22-BW95)/($C$21-$C$22*K96)</f>
        <v>127.71470531764434</v>
      </c>
      <c r="AR95" s="1">
        <f>(AR96*$C$22-BX95)/($C$21-$C$22*L96)</f>
        <v>123.62921015520647</v>
      </c>
      <c r="AS95" s="1">
        <f>(AS96*$C$22-BY95)/($C$21-$C$22*M96)</f>
        <v>119.59219905783094</v>
      </c>
      <c r="AT95" s="1">
        <f>(AT96*$C$22-BZ95)/($C$21-$C$22*N96)</f>
        <v>115.61209773426914</v>
      </c>
      <c r="AU95" s="1">
        <f>(AU96*$C$22-CA95)/($C$21-$C$22*O96)</f>
        <v>111.69666356299102</v>
      </c>
      <c r="AV95" s="1">
        <f>(AV96*$C$22-CB95)/($C$21-$C$22*P96)</f>
        <v>107.85289460353187</v>
      </c>
      <c r="AW95" s="1">
        <f>(AW96*$C$22-CC95)/($C$21-$C$22*Q96)</f>
        <v>104.08694756420005</v>
      </c>
      <c r="AX95" s="1">
        <f>(AX96*$C$22-CD95)/($C$21-$C$22*R96)</f>
        <v>100.40406568726482</v>
      </c>
      <c r="AY95" s="1">
        <f>(AY96*$C$22-CE95)/($C$21-$C$22*S96)</f>
        <v>96.808517393972693</v>
      </c>
      <c r="AZ95" s="1">
        <f>(AZ96*$C$22-CF95)/($C$21-$C$22*T96)</f>
        <v>93.303546403241569</v>
      </c>
      <c r="BA95" s="1">
        <f>(BA96*$C$22-CG95)/($C$21-$C$22*U96)</f>
        <v>89.891333901267146</v>
      </c>
      <c r="BB95" s="1">
        <f>(BB96*$C$22-CH95)/($C$21-$C$22*V96)</f>
        <v>86.572973196252633</v>
      </c>
      <c r="BC95" s="1">
        <f>(BC96*$C$22-CI95)/($C$21-$C$22*W96)</f>
        <v>83.348457144789919</v>
      </c>
      <c r="BD95" s="1">
        <f>(BD96*$C$22-CJ95)/($C$21-$C$22*X96)</f>
        <v>80.216678485877168</v>
      </c>
      <c r="BE95" s="1">
        <f>(BE96*$C$22-CK95)/($C$21-$C$22*Y96)</f>
        <v>77.175443066955339</v>
      </c>
      <c r="BF95" s="1">
        <f>(BF96*$C$22-CL95)/($C$21-$C$22*Z96)</f>
        <v>74.22149579547127</v>
      </c>
      <c r="BG95" s="1">
        <f>(BG96*$C$22-CM95)/($C$21-$C$22*AA96)</f>
        <v>71.350559001089394</v>
      </c>
      <c r="BH95" s="1">
        <f>(BH96*$C$22-CN95)/($C$21-$C$22*AB96)</f>
        <v>68.557382749475096</v>
      </c>
      <c r="BI95" s="1">
        <f>(BI96*$C$22-CO95)/($C$21-$C$22*AC96)</f>
        <v>65.835806510191802</v>
      </c>
      <c r="BJ95" s="1">
        <f>(BJ96*$C$22-CP95)/($C$21-$C$22*AD96)</f>
        <v>63.178831450231577</v>
      </c>
      <c r="BK95" s="1">
        <f>(BK96*$C$22-CQ95)/($C$21-$C$22*AE96)</f>
        <v>60.578702502474066</v>
      </c>
      <c r="BL95" s="1">
        <f>(BL96*$C$22-CR95)/($C$21-$C$22*AF96)</f>
        <v>58.026999246263834</v>
      </c>
      <c r="BM95" s="1">
        <f>(BM96*$C$22-CS95)/($C$21-$C$22*AG96)</f>
        <v>55.514734536507575</v>
      </c>
      <c r="BN95" s="1">
        <f>(BN96*$C$22-CT95)/($C$21-$C$22*AH96)</f>
        <v>53.032459729287389</v>
      </c>
      <c r="BO95" s="1">
        <f>(BO96*$C$22-CU95)/($C$21-$C$22*AI96)</f>
        <v>50.570375276882835</v>
      </c>
      <c r="BP95" s="1">
        <f>(BP96*$C$22-CV95)/($C$21-$C$22*AJ96)</f>
        <v>48.118445404071565</v>
      </c>
      <c r="BQ95" s="2"/>
      <c r="BR95" s="2"/>
      <c r="BS95" s="1">
        <f>-$C$10*$C$9/$C$7*CY63</f>
        <v>-1076400000</v>
      </c>
      <c r="BT95" s="1">
        <f t="shared" si="59"/>
        <v>-1045191140.1663288</v>
      </c>
      <c r="BU95" s="1">
        <f t="shared" si="60"/>
        <v>-1014058104.8774382</v>
      </c>
      <c r="BV95" s="1">
        <f t="shared" si="61"/>
        <v>-983075827.84936142</v>
      </c>
      <c r="BW95" s="1">
        <f t="shared" si="62"/>
        <v>-952317471.6715467</v>
      </c>
      <c r="BX95" s="1">
        <f t="shared" si="63"/>
        <v>-921853568.44331241</v>
      </c>
      <c r="BY95" s="1">
        <f t="shared" si="64"/>
        <v>-891751191.49462211</v>
      </c>
      <c r="BZ95" s="1">
        <f t="shared" si="65"/>
        <v>-862073167.96535122</v>
      </c>
      <c r="CA95" s="1">
        <f t="shared" si="66"/>
        <v>-832877341.5237987</v>
      </c>
      <c r="CB95" s="1">
        <f t="shared" si="67"/>
        <v>-804215893.90069556</v>
      </c>
      <c r="CC95" s="1">
        <f t="shared" si="68"/>
        <v>-776134733.207214</v>
      </c>
      <c r="CD95" s="1">
        <f t="shared" si="69"/>
        <v>-748672956.2036587</v>
      </c>
      <c r="CE95" s="1">
        <f t="shared" si="70"/>
        <v>-721862390.79989672</v>
      </c>
      <c r="CF95" s="1">
        <f t="shared" si="38"/>
        <v>-695727224.11041105</v>
      </c>
      <c r="CG95" s="1">
        <f t="shared" si="39"/>
        <v>-670283720.3681885</v>
      </c>
      <c r="CH95" s="1">
        <f t="shared" si="40"/>
        <v>-645540031.93517733</v>
      </c>
      <c r="CI95" s="1">
        <f t="shared" si="41"/>
        <v>-621496105.54584038</v>
      </c>
      <c r="CJ95" s="1">
        <f t="shared" si="42"/>
        <v>-598143684.7977916</v>
      </c>
      <c r="CK95" s="1">
        <f t="shared" si="43"/>
        <v>-575466408.77305913</v>
      </c>
      <c r="CL95" s="1">
        <f t="shared" si="44"/>
        <v>-553440005.54851103</v>
      </c>
      <c r="CM95" s="1">
        <f t="shared" si="45"/>
        <v>-532032578.24752313</v>
      </c>
      <c r="CN95" s="1">
        <f t="shared" si="46"/>
        <v>-511204980.20973593</v>
      </c>
      <c r="CO95" s="1">
        <f t="shared" si="47"/>
        <v>-490911274.82389611</v>
      </c>
      <c r="CP95" s="1">
        <f t="shared" si="48"/>
        <v>-471099274.5917967</v>
      </c>
      <c r="CQ95" s="1">
        <f t="shared" si="49"/>
        <v>-451711153.07994807</v>
      </c>
      <c r="CR95" s="1">
        <f t="shared" si="50"/>
        <v>-432684122.57969087</v>
      </c>
      <c r="CS95" s="1">
        <f t="shared" si="51"/>
        <v>-413951169.54492235</v>
      </c>
      <c r="CT95" s="1">
        <f t="shared" si="52"/>
        <v>-395441839.21740431</v>
      </c>
      <c r="CU95" s="1">
        <f t="shared" si="35"/>
        <v>-377083060.28960449</v>
      </c>
      <c r="CV95" s="1">
        <f t="shared" si="32"/>
        <v>-358800000</v>
      </c>
      <c r="CW95" s="2"/>
      <c r="CX95" s="2"/>
      <c r="CY95" s="1">
        <f t="shared" si="37"/>
        <v>300</v>
      </c>
      <c r="CZ95" s="1">
        <f t="shared" si="71"/>
        <v>291.30187853019197</v>
      </c>
      <c r="DA95" s="1">
        <f t="shared" si="72"/>
        <v>282.62488987665506</v>
      </c>
      <c r="DB95" s="1">
        <f t="shared" si="73"/>
        <v>273.98991857563033</v>
      </c>
      <c r="DC95" s="1">
        <f t="shared" si="74"/>
        <v>265.41735553833519</v>
      </c>
      <c r="DD95" s="1">
        <f t="shared" si="75"/>
        <v>256.92685854049955</v>
      </c>
      <c r="DE95" s="1">
        <f t="shared" si="76"/>
        <v>248.53712137531278</v>
      </c>
      <c r="DF95" s="1">
        <f t="shared" si="77"/>
        <v>240.26565439391061</v>
      </c>
      <c r="DG95" s="1">
        <f t="shared" si="78"/>
        <v>232.12857902001082</v>
      </c>
      <c r="DH95" s="1">
        <f t="shared" si="79"/>
        <v>224.14043865682711</v>
      </c>
      <c r="DI95" s="1">
        <f t="shared" si="80"/>
        <v>216.31402820713879</v>
      </c>
      <c r="DJ95" s="1">
        <f t="shared" si="81"/>
        <v>208.6602442039183</v>
      </c>
      <c r="DK95" s="1">
        <f t="shared" si="82"/>
        <v>201.18795730208939</v>
      </c>
      <c r="DL95" s="1">
        <f t="shared" si="83"/>
        <v>193.90390861494177</v>
      </c>
      <c r="DM95" s="1">
        <f t="shared" si="84"/>
        <v>186.8126310948129</v>
      </c>
      <c r="DN95" s="1">
        <f t="shared" si="85"/>
        <v>179.91639686041731</v>
      </c>
      <c r="DO95" s="1">
        <f t="shared" si="86"/>
        <v>173.21519106628773</v>
      </c>
      <c r="DP95" s="1">
        <f t="shared" si="87"/>
        <v>166.70671259693188</v>
      </c>
      <c r="DQ95" s="1">
        <f t="shared" si="88"/>
        <v>160.38640155324947</v>
      </c>
      <c r="DR95" s="1">
        <f t="shared" si="89"/>
        <v>154.24749318520375</v>
      </c>
      <c r="DS95" s="1">
        <f t="shared" si="90"/>
        <v>148.28109761636654</v>
      </c>
      <c r="DT95" s="1">
        <f t="shared" si="91"/>
        <v>142.47630440628092</v>
      </c>
      <c r="DU95" s="1">
        <f t="shared" si="92"/>
        <v>136.82031070900115</v>
      </c>
      <c r="DV95" s="1">
        <f t="shared" si="93"/>
        <v>131.2985715138787</v>
      </c>
      <c r="DW95" s="1">
        <f t="shared" si="53"/>
        <v>125.89497020065443</v>
      </c>
      <c r="DX95" s="1">
        <f t="shared" si="54"/>
        <v>120.5920074079406</v>
      </c>
      <c r="DY95" s="1">
        <f t="shared" si="55"/>
        <v>115.37100600471638</v>
      </c>
      <c r="DZ95" s="1">
        <f t="shared" si="56"/>
        <v>110.212329770737</v>
      </c>
      <c r="EA95" s="1">
        <f t="shared" si="57"/>
        <v>105.09561323567573</v>
      </c>
      <c r="EB95" s="1">
        <f t="shared" si="58"/>
        <v>100</v>
      </c>
    </row>
    <row r="96" spans="4:132">
      <c r="D96" s="2"/>
      <c r="E96" s="2"/>
      <c r="F96" s="1">
        <v>1</v>
      </c>
      <c r="G96" s="1">
        <f>1</f>
        <v>1</v>
      </c>
      <c r="H96" s="1">
        <f>1</f>
        <v>1</v>
      </c>
      <c r="I96" s="1">
        <f>1</f>
        <v>1</v>
      </c>
      <c r="J96" s="1">
        <f>1</f>
        <v>1</v>
      </c>
      <c r="K96" s="1">
        <f>1</f>
        <v>1</v>
      </c>
      <c r="L96" s="1">
        <f>1</f>
        <v>1</v>
      </c>
      <c r="M96" s="1">
        <f>1</f>
        <v>1</v>
      </c>
      <c r="N96" s="1">
        <f>1</f>
        <v>1</v>
      </c>
      <c r="O96" s="1">
        <f>1</f>
        <v>1</v>
      </c>
      <c r="P96" s="1">
        <f>1</f>
        <v>1</v>
      </c>
      <c r="Q96" s="1">
        <f>1</f>
        <v>1</v>
      </c>
      <c r="R96" s="1">
        <f>1</f>
        <v>1</v>
      </c>
      <c r="S96" s="1">
        <f>1</f>
        <v>1</v>
      </c>
      <c r="T96" s="1">
        <f>1</f>
        <v>1</v>
      </c>
      <c r="U96" s="1">
        <f>1</f>
        <v>1</v>
      </c>
      <c r="V96" s="1">
        <f>1</f>
        <v>1</v>
      </c>
      <c r="W96" s="1">
        <f>1</f>
        <v>1</v>
      </c>
      <c r="X96" s="1">
        <f>1</f>
        <v>1</v>
      </c>
      <c r="Y96" s="1">
        <f>1</f>
        <v>1</v>
      </c>
      <c r="Z96" s="1">
        <f>1</f>
        <v>1</v>
      </c>
      <c r="AA96" s="1">
        <f>1</f>
        <v>1</v>
      </c>
      <c r="AB96" s="1">
        <f>1</f>
        <v>1</v>
      </c>
      <c r="AC96" s="1">
        <f>1</f>
        <v>1</v>
      </c>
      <c r="AD96" s="1">
        <f>1</f>
        <v>1</v>
      </c>
      <c r="AE96" s="1">
        <f>1</f>
        <v>1</v>
      </c>
      <c r="AF96" s="1">
        <f>1</f>
        <v>1</v>
      </c>
      <c r="AG96" s="1">
        <f>1</f>
        <v>1</v>
      </c>
      <c r="AH96" s="1">
        <f>1</f>
        <v>1</v>
      </c>
      <c r="AI96" s="1">
        <f>1</f>
        <v>1</v>
      </c>
      <c r="AJ96" s="1">
        <f>1</f>
        <v>1</v>
      </c>
      <c r="AK96" s="2"/>
      <c r="AL96" s="2"/>
      <c r="AM96" s="1">
        <f>0</f>
        <v>0</v>
      </c>
      <c r="AN96" s="1">
        <f>0</f>
        <v>0</v>
      </c>
      <c r="AO96" s="1">
        <f>0</f>
        <v>0</v>
      </c>
      <c r="AP96" s="1">
        <f>0</f>
        <v>0</v>
      </c>
      <c r="AQ96" s="1">
        <f>0</f>
        <v>0</v>
      </c>
      <c r="AR96" s="1">
        <f>0</f>
        <v>0</v>
      </c>
      <c r="AS96" s="1">
        <f>0</f>
        <v>0</v>
      </c>
      <c r="AT96" s="1">
        <f>0</f>
        <v>0</v>
      </c>
      <c r="AU96" s="1">
        <f>0</f>
        <v>0</v>
      </c>
      <c r="AV96" s="1">
        <f>0</f>
        <v>0</v>
      </c>
      <c r="AW96" s="1">
        <f>0</f>
        <v>0</v>
      </c>
      <c r="AX96" s="1">
        <f>0</f>
        <v>0</v>
      </c>
      <c r="AY96" s="1">
        <f>0</f>
        <v>0</v>
      </c>
      <c r="AZ96" s="1">
        <f>0</f>
        <v>0</v>
      </c>
      <c r="BA96" s="1">
        <f>0</f>
        <v>0</v>
      </c>
      <c r="BB96" s="1">
        <f>0</f>
        <v>0</v>
      </c>
      <c r="BC96" s="1">
        <f>0</f>
        <v>0</v>
      </c>
      <c r="BD96" s="1">
        <f>0</f>
        <v>0</v>
      </c>
      <c r="BE96" s="1">
        <f>0</f>
        <v>0</v>
      </c>
      <c r="BF96" s="1">
        <f>0</f>
        <v>0</v>
      </c>
      <c r="BG96" s="1">
        <f>0</f>
        <v>0</v>
      </c>
      <c r="BH96" s="1">
        <f>0</f>
        <v>0</v>
      </c>
      <c r="BI96" s="1">
        <f>0</f>
        <v>0</v>
      </c>
      <c r="BJ96" s="1">
        <f>0</f>
        <v>0</v>
      </c>
      <c r="BK96" s="1">
        <f>0</f>
        <v>0</v>
      </c>
      <c r="BL96" s="1">
        <f>0</f>
        <v>0</v>
      </c>
      <c r="BM96" s="1">
        <f>0</f>
        <v>0</v>
      </c>
      <c r="BN96" s="1">
        <f>0</f>
        <v>0</v>
      </c>
      <c r="BO96" s="1">
        <f>0</f>
        <v>0</v>
      </c>
      <c r="BP96" s="1">
        <f>0</f>
        <v>0</v>
      </c>
      <c r="BQ96" s="2"/>
      <c r="BR96" s="2"/>
      <c r="BS96" s="1">
        <f t="shared" si="34"/>
        <v>-1076400000</v>
      </c>
      <c r="BT96" s="1">
        <f t="shared" si="59"/>
        <v>-1045191140.1663288</v>
      </c>
      <c r="BU96" s="1">
        <f t="shared" si="60"/>
        <v>-1014058104.8774382</v>
      </c>
      <c r="BV96" s="1">
        <f t="shared" si="61"/>
        <v>-983075827.84936142</v>
      </c>
      <c r="BW96" s="1">
        <f t="shared" si="62"/>
        <v>-952317471.6715467</v>
      </c>
      <c r="BX96" s="1">
        <f t="shared" si="63"/>
        <v>-921853568.44331241</v>
      </c>
      <c r="BY96" s="1">
        <f t="shared" si="64"/>
        <v>-891751191.49462211</v>
      </c>
      <c r="BZ96" s="1">
        <f t="shared" si="65"/>
        <v>-862073167.96535122</v>
      </c>
      <c r="CA96" s="1">
        <f t="shared" si="66"/>
        <v>-832877341.5237987</v>
      </c>
      <c r="CB96" s="1">
        <f t="shared" si="67"/>
        <v>-804215893.90069556</v>
      </c>
      <c r="CC96" s="1">
        <f t="shared" si="68"/>
        <v>-776134733.207214</v>
      </c>
      <c r="CD96" s="1">
        <f t="shared" si="69"/>
        <v>-748672956.2036587</v>
      </c>
      <c r="CE96" s="1">
        <f t="shared" si="70"/>
        <v>-721862390.79989672</v>
      </c>
      <c r="CF96" s="1">
        <f t="shared" si="38"/>
        <v>-695727224.11041105</v>
      </c>
      <c r="CG96" s="1">
        <f t="shared" si="39"/>
        <v>-670283720.3681885</v>
      </c>
      <c r="CH96" s="1">
        <f t="shared" si="40"/>
        <v>-645540031.93517733</v>
      </c>
      <c r="CI96" s="1">
        <f t="shared" si="41"/>
        <v>-621496105.54584038</v>
      </c>
      <c r="CJ96" s="1">
        <f t="shared" si="42"/>
        <v>-598143684.7977916</v>
      </c>
      <c r="CK96" s="1">
        <f t="shared" si="43"/>
        <v>-575466408.77305913</v>
      </c>
      <c r="CL96" s="1">
        <f t="shared" si="44"/>
        <v>-553440005.54851103</v>
      </c>
      <c r="CM96" s="1">
        <f t="shared" si="45"/>
        <v>-532032578.24752313</v>
      </c>
      <c r="CN96" s="1">
        <f t="shared" si="46"/>
        <v>-511204980.20973593</v>
      </c>
      <c r="CO96" s="1">
        <f t="shared" si="47"/>
        <v>-490911274.82389611</v>
      </c>
      <c r="CP96" s="1">
        <f t="shared" si="48"/>
        <v>-471099274.5917967</v>
      </c>
      <c r="CQ96" s="1">
        <f t="shared" si="49"/>
        <v>-451711153.07994807</v>
      </c>
      <c r="CR96" s="1">
        <f t="shared" si="50"/>
        <v>-432684122.57969087</v>
      </c>
      <c r="CS96" s="1">
        <f t="shared" si="51"/>
        <v>-413951169.54492235</v>
      </c>
      <c r="CT96" s="1">
        <f t="shared" si="52"/>
        <v>-395441839.21740431</v>
      </c>
      <c r="CU96" s="1">
        <f t="shared" si="35"/>
        <v>-377083060.28960449</v>
      </c>
      <c r="CV96" s="1">
        <f t="shared" si="32"/>
        <v>-358800000</v>
      </c>
      <c r="CW96" s="2"/>
      <c r="CX96" s="2"/>
      <c r="CY96" s="1">
        <f t="shared" si="37"/>
        <v>300</v>
      </c>
      <c r="CZ96" s="1">
        <f t="shared" si="71"/>
        <v>291.30187853019197</v>
      </c>
      <c r="DA96" s="1">
        <f t="shared" si="72"/>
        <v>282.62488987665506</v>
      </c>
      <c r="DB96" s="1">
        <f t="shared" si="73"/>
        <v>273.98991857563033</v>
      </c>
      <c r="DC96" s="1">
        <f t="shared" si="74"/>
        <v>265.41735553833519</v>
      </c>
      <c r="DD96" s="1">
        <f t="shared" si="75"/>
        <v>256.92685854049955</v>
      </c>
      <c r="DE96" s="1">
        <f t="shared" si="76"/>
        <v>248.53712137531278</v>
      </c>
      <c r="DF96" s="1">
        <f t="shared" si="77"/>
        <v>240.26565439391061</v>
      </c>
      <c r="DG96" s="1">
        <f t="shared" si="78"/>
        <v>232.12857902001082</v>
      </c>
      <c r="DH96" s="1">
        <f t="shared" si="79"/>
        <v>224.14043865682711</v>
      </c>
      <c r="DI96" s="1">
        <f t="shared" si="80"/>
        <v>216.31402820713879</v>
      </c>
      <c r="DJ96" s="1">
        <f t="shared" si="81"/>
        <v>208.6602442039183</v>
      </c>
      <c r="DK96" s="1">
        <f t="shared" si="82"/>
        <v>201.18795730208939</v>
      </c>
      <c r="DL96" s="1">
        <f t="shared" si="83"/>
        <v>193.90390861494177</v>
      </c>
      <c r="DM96" s="1">
        <f t="shared" si="84"/>
        <v>186.8126310948129</v>
      </c>
      <c r="DN96" s="1">
        <f t="shared" si="85"/>
        <v>179.91639686041731</v>
      </c>
      <c r="DO96" s="1">
        <f t="shared" si="86"/>
        <v>173.21519106628773</v>
      </c>
      <c r="DP96" s="1">
        <f t="shared" si="87"/>
        <v>166.70671259693188</v>
      </c>
      <c r="DQ96" s="1">
        <f t="shared" si="88"/>
        <v>160.38640155324947</v>
      </c>
      <c r="DR96" s="1">
        <f t="shared" si="89"/>
        <v>154.24749318520375</v>
      </c>
      <c r="DS96" s="1">
        <f t="shared" si="90"/>
        <v>148.28109761636654</v>
      </c>
      <c r="DT96" s="1">
        <f t="shared" si="91"/>
        <v>142.47630440628092</v>
      </c>
      <c r="DU96" s="1">
        <f t="shared" si="92"/>
        <v>136.82031070900115</v>
      </c>
      <c r="DV96" s="1">
        <f t="shared" si="93"/>
        <v>131.2985715138787</v>
      </c>
      <c r="DW96" s="1">
        <f t="shared" si="53"/>
        <v>125.89497020065443</v>
      </c>
      <c r="DX96" s="1">
        <f t="shared" si="54"/>
        <v>120.5920074079406</v>
      </c>
      <c r="DY96" s="1">
        <f t="shared" si="55"/>
        <v>115.37100600471638</v>
      </c>
      <c r="DZ96" s="1">
        <f t="shared" si="56"/>
        <v>110.212329770737</v>
      </c>
      <c r="EA96" s="1">
        <f t="shared" si="57"/>
        <v>105.09561323567573</v>
      </c>
      <c r="EB96" s="1">
        <f t="shared" si="58"/>
        <v>100</v>
      </c>
    </row>
  </sheetData>
  <mergeCells count="13">
    <mergeCell ref="A2:A7"/>
    <mergeCell ref="A9:A11"/>
    <mergeCell ref="A13:A14"/>
    <mergeCell ref="A16:A18"/>
    <mergeCell ref="A20:A22"/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2:AJ31">
    <cfRule type="colorScale" priority="1">
      <colorScale>
        <cfvo type="min" val="0"/>
        <cfvo type="percentile" val="50"/>
        <cfvo type="max" val="0"/>
        <color theme="8"/>
        <color theme="7"/>
        <color rgb="FFFF0000"/>
      </colorScale>
    </cfRule>
    <cfRule type="colorScale" priority="2">
      <colorScale>
        <cfvo type="min" val="0"/>
        <cfvo type="percentile" val="50"/>
        <cfvo type="max" val="0"/>
        <color theme="8"/>
        <color rgb="FFFFEB84"/>
        <color rgb="FFFF0000"/>
      </colorScale>
    </cfRule>
    <cfRule type="colorScale" priority="3">
      <colorScale>
        <cfvo type="min" val="0"/>
        <cfvo type="percentile" val="50"/>
        <cfvo type="max" val="0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Metzler</dc:creator>
  <cp:lastModifiedBy>user</cp:lastModifiedBy>
  <dcterms:created xsi:type="dcterms:W3CDTF">2021-03-25T07:15:14Z</dcterms:created>
  <dcterms:modified xsi:type="dcterms:W3CDTF">2021-04-20T12:20:31Z</dcterms:modified>
</cp:coreProperties>
</file>