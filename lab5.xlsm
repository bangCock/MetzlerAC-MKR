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10.xml" ContentType="application/vnd.openxmlformats-officedocument.drawingml.chart+xml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style6.xml" ContentType="application/vnd.ms-office.chartsty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Override PartName="/xl/charts/style4.xml" ContentType="application/vnd.ms-office.chartstyle+xml"/>
  <Override PartName="/xl/charts/style5.xml" ContentType="application/vnd.ms-office.chartstyle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harts/style2.xml" ContentType="application/vnd.ms-office.chartstyle+xml"/>
  <Override PartName="/xl/charts/style3.xml" ContentType="application/vnd.ms-office.chartstyle+xml"/>
  <Override PartName="/xl/charts/style1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charts/colors6.xml" ContentType="application/vnd.ms-office.chartcolorstyle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charts/colors4.xml" ContentType="application/vnd.ms-office.chartcolorstyle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charts/colors2.xml" ContentType="application/vnd.ms-office.chartcolorstyle+xml"/>
  <Override PartName="/xl/charts/colors3.xml" ContentType="application/vnd.ms-office.chartcolorstyle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olors1.xml" ContentType="application/vnd.ms-office.chartcolorsty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B7FE6334-C1A2-E50D-BD3D-5F4D41BBC2E3}"/>
  <workbookPr codeName="ЭтаКнига"/>
  <bookViews>
    <workbookView xWindow="-105" yWindow="-105" windowWidth="22140" windowHeight="13170"/>
  </bookViews>
  <sheets>
    <sheet name="ro_const" sheetId="1" r:id="rId1"/>
    <sheet name="ro_var" sheetId="2" r:id="rId2"/>
  </sheets>
  <calcPr calcId="125725"/>
  <extLst xmlns:x15="http://schemas.microsoft.com/office/spreadsheetml/2010/11/main"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23" i="2"/>
  <c r="L23"/>
  <c r="K23"/>
  <c r="O22"/>
  <c r="O23" s="1"/>
  <c r="N22"/>
  <c r="N23" s="1"/>
  <c r="M22"/>
  <c r="M23" s="1"/>
  <c r="L22"/>
  <c r="K22"/>
  <c r="G22"/>
  <c r="G23" s="1"/>
  <c r="Q21"/>
  <c r="Q22" s="1"/>
  <c r="P21"/>
  <c r="P22" s="1"/>
  <c r="P23" s="1"/>
  <c r="O21"/>
  <c r="O20" s="1"/>
  <c r="N21"/>
  <c r="N20" s="1"/>
  <c r="M21"/>
  <c r="L21"/>
  <c r="K21"/>
  <c r="J21"/>
  <c r="J22" s="1"/>
  <c r="J23" s="1"/>
  <c r="I21"/>
  <c r="I22" s="1"/>
  <c r="I23" s="1"/>
  <c r="H21"/>
  <c r="H22" s="1"/>
  <c r="H23" s="1"/>
  <c r="G21"/>
  <c r="G20" s="1"/>
  <c r="M20"/>
  <c r="L20"/>
  <c r="K20"/>
  <c r="J20" l="1"/>
  <c r="I20"/>
  <c r="Q20"/>
  <c r="H20"/>
  <c r="P20"/>
  <c r="Q13" l="1"/>
  <c r="Q12"/>
  <c r="P12"/>
  <c r="O12"/>
  <c r="N12"/>
  <c r="M12"/>
  <c r="L12"/>
  <c r="K12"/>
  <c r="J12"/>
  <c r="I12"/>
  <c r="H12"/>
  <c r="C8"/>
  <c r="Q4"/>
  <c r="G4"/>
  <c r="C4"/>
  <c r="H2" s="1"/>
  <c r="I2" s="1"/>
  <c r="J2" s="1"/>
  <c r="K2" s="1"/>
  <c r="L2" s="1"/>
  <c r="M2" s="1"/>
  <c r="N2" s="1"/>
  <c r="O2" s="1"/>
  <c r="P2" s="1"/>
  <c r="Q2" s="1"/>
  <c r="H3"/>
  <c r="H4" s="1"/>
  <c r="H3" i="1"/>
  <c r="H4" s="1"/>
  <c r="G12" s="1"/>
  <c r="G16" s="1"/>
  <c r="G17" s="1"/>
  <c r="C8"/>
  <c r="I12"/>
  <c r="I16" s="1"/>
  <c r="I17" s="1"/>
  <c r="I18" s="1"/>
  <c r="J12"/>
  <c r="J16" s="1"/>
  <c r="J17" s="1"/>
  <c r="H12"/>
  <c r="H16" s="1"/>
  <c r="H17" s="1"/>
  <c r="Q4"/>
  <c r="G4"/>
  <c r="I3"/>
  <c r="J3" s="1"/>
  <c r="K3" s="1"/>
  <c r="L3" s="1"/>
  <c r="M3" s="1"/>
  <c r="N3" s="1"/>
  <c r="O3" s="1"/>
  <c r="P3" s="1"/>
  <c r="P4" s="1"/>
  <c r="C4"/>
  <c r="H2" s="1"/>
  <c r="I2" s="1"/>
  <c r="J2" s="1"/>
  <c r="K2" s="1"/>
  <c r="L2" s="1"/>
  <c r="M2" s="1"/>
  <c r="N2" s="1"/>
  <c r="O2" s="1"/>
  <c r="P2" s="1"/>
  <c r="Q2" s="1"/>
  <c r="L4" l="1"/>
  <c r="I3" i="2"/>
  <c r="I4" s="1"/>
  <c r="I16"/>
  <c r="I17" s="1"/>
  <c r="M16"/>
  <c r="M17" s="1"/>
  <c r="M18" s="1"/>
  <c r="Q16"/>
  <c r="Q17" s="1"/>
  <c r="O4" i="1"/>
  <c r="K4"/>
  <c r="N4"/>
  <c r="J4"/>
  <c r="M4"/>
  <c r="I4"/>
  <c r="J16" i="2"/>
  <c r="J17" s="1"/>
  <c r="N16"/>
  <c r="N17" s="1"/>
  <c r="Q14"/>
  <c r="K16"/>
  <c r="K17" s="1"/>
  <c r="K18" s="1"/>
  <c r="Q9"/>
  <c r="I9"/>
  <c r="G12"/>
  <c r="H9"/>
  <c r="O16"/>
  <c r="O17" s="1"/>
  <c r="O18" s="1"/>
  <c r="I18"/>
  <c r="Q18"/>
  <c r="H16"/>
  <c r="H17" s="1"/>
  <c r="H18" s="1"/>
  <c r="L16"/>
  <c r="L17" s="1"/>
  <c r="L18" s="1"/>
  <c r="P16"/>
  <c r="P17" s="1"/>
  <c r="P18" s="1"/>
  <c r="J18"/>
  <c r="N18"/>
  <c r="J3"/>
  <c r="I9" i="1"/>
  <c r="L12"/>
  <c r="L16" s="1"/>
  <c r="L17" s="1"/>
  <c r="L18" s="1"/>
  <c r="K12"/>
  <c r="K16" s="1"/>
  <c r="K17" s="1"/>
  <c r="K18" s="1"/>
  <c r="H9"/>
  <c r="J9"/>
  <c r="G18"/>
  <c r="J18"/>
  <c r="H18"/>
  <c r="G9"/>
  <c r="G13"/>
  <c r="H10" i="2" l="1"/>
  <c r="H13" s="1"/>
  <c r="H14" s="1"/>
  <c r="G13"/>
  <c r="G16"/>
  <c r="G17" s="1"/>
  <c r="G18" s="1"/>
  <c r="G9"/>
  <c r="G10" s="1"/>
  <c r="K3"/>
  <c r="J4"/>
  <c r="J9" s="1"/>
  <c r="I10" i="1"/>
  <c r="I13" s="1"/>
  <c r="H10"/>
  <c r="H13" s="1"/>
  <c r="L9"/>
  <c r="G10"/>
  <c r="K9"/>
  <c r="J10" s="1"/>
  <c r="J13" s="1"/>
  <c r="M12"/>
  <c r="G14" i="2" l="1"/>
  <c r="L3"/>
  <c r="K4"/>
  <c r="K9" s="1"/>
  <c r="J10" s="1"/>
  <c r="J13" s="1"/>
  <c r="J14" s="1"/>
  <c r="I10"/>
  <c r="I13" s="1"/>
  <c r="I14" s="1"/>
  <c r="M16" i="1"/>
  <c r="M17" s="1"/>
  <c r="M18" s="1"/>
  <c r="M9"/>
  <c r="L10" s="1"/>
  <c r="L13" s="1"/>
  <c r="K10"/>
  <c r="K13" s="1"/>
  <c r="M3" i="2" l="1"/>
  <c r="L4"/>
  <c r="L9" s="1"/>
  <c r="O12" i="1"/>
  <c r="N12"/>
  <c r="M4" i="2" l="1"/>
  <c r="M9" s="1"/>
  <c r="L10" s="1"/>
  <c r="L13" s="1"/>
  <c r="L14" s="1"/>
  <c r="N3"/>
  <c r="K10"/>
  <c r="K13" s="1"/>
  <c r="K14" s="1"/>
  <c r="N16" i="1"/>
  <c r="N17" s="1"/>
  <c r="N18" s="1"/>
  <c r="N9"/>
  <c r="M10" s="1"/>
  <c r="M13" s="1"/>
  <c r="O16"/>
  <c r="O17" s="1"/>
  <c r="O18" s="1"/>
  <c r="O9"/>
  <c r="N4" i="2" l="1"/>
  <c r="N9" s="1"/>
  <c r="M10" s="1"/>
  <c r="M13" s="1"/>
  <c r="M14" s="1"/>
  <c r="O3"/>
  <c r="Q13" i="1"/>
  <c r="Q12"/>
  <c r="P12"/>
  <c r="N10"/>
  <c r="N13" s="1"/>
  <c r="P3" i="2" l="1"/>
  <c r="P4" s="1"/>
  <c r="P9" s="1"/>
  <c r="P10" s="1"/>
  <c r="P13" s="1"/>
  <c r="P14" s="1"/>
  <c r="O4"/>
  <c r="O9" s="1"/>
  <c r="P16" i="1"/>
  <c r="P17" s="1"/>
  <c r="P18" s="1"/>
  <c r="P9"/>
  <c r="Q16"/>
  <c r="Q17" s="1"/>
  <c r="Q18" s="1"/>
  <c r="Q9"/>
  <c r="O10" i="2" l="1"/>
  <c r="O13" s="1"/>
  <c r="O14" s="1"/>
  <c r="N10"/>
  <c r="N13" s="1"/>
  <c r="N14" s="1"/>
  <c r="P10" i="1"/>
  <c r="P13" s="1"/>
  <c r="O10"/>
  <c r="O13" s="1"/>
</calcChain>
</file>

<file path=xl/sharedStrings.xml><?xml version="1.0" encoding="utf-8"?>
<sst xmlns="http://schemas.openxmlformats.org/spreadsheetml/2006/main" count="58" uniqueCount="26">
  <si>
    <t>L</t>
  </si>
  <si>
    <t>dx</t>
  </si>
  <si>
    <t>k</t>
  </si>
  <si>
    <t>R</t>
  </si>
  <si>
    <t>Cp</t>
  </si>
  <si>
    <t>p*</t>
  </si>
  <si>
    <t>T*</t>
  </si>
  <si>
    <t>n</t>
  </si>
  <si>
    <t>N</t>
  </si>
  <si>
    <t>x</t>
  </si>
  <si>
    <t>A</t>
  </si>
  <si>
    <t>U</t>
  </si>
  <si>
    <t>p</t>
  </si>
  <si>
    <t>ro</t>
  </si>
  <si>
    <t>G</t>
  </si>
  <si>
    <t>dp</t>
  </si>
  <si>
    <t>T</t>
  </si>
  <si>
    <t>c</t>
  </si>
  <si>
    <t>M</t>
  </si>
  <si>
    <t>lamda</t>
  </si>
  <si>
    <t>U_3D</t>
  </si>
  <si>
    <t>p_3D</t>
  </si>
  <si>
    <t>G_3D</t>
  </si>
  <si>
    <t>№</t>
  </si>
  <si>
    <t>Tau_lam</t>
  </si>
  <si>
    <t>Pi_lamda</t>
  </si>
</sst>
</file>

<file path=xl/styles.xml><?xml version="1.0" encoding="utf-8"?>
<styleSheet xmlns="http://schemas.openxmlformats.org/spreadsheetml/2006/main">
  <numFmts count="3">
    <numFmt numFmtId="164" formatCode="0.000"/>
    <numFmt numFmtId="165" formatCode="0.0000"/>
    <numFmt numFmtId="166" formatCode="0.00000"/>
  </numFmts>
  <fonts count="3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sz val="16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6">
    <xf numFmtId="0" fontId="0" fillId="0" borderId="0" xfId="0"/>
    <xf numFmtId="0" fontId="1" fillId="0" borderId="0" xfId="0" applyFont="1" applyBorder="1"/>
    <xf numFmtId="0" fontId="0" fillId="0" borderId="0" xfId="0" applyFont="1"/>
    <xf numFmtId="0" fontId="0" fillId="0" borderId="1" xfId="0" applyFont="1" applyBorder="1"/>
    <xf numFmtId="1" fontId="0" fillId="0" borderId="1" xfId="0" applyNumberFormat="1" applyFont="1" applyBorder="1" applyAlignment="1">
      <alignment horizontal="center"/>
    </xf>
    <xf numFmtId="2" fontId="0" fillId="0" borderId="1" xfId="0" applyNumberFormat="1" applyFont="1" applyBorder="1" applyAlignment="1">
      <alignment horizontal="center"/>
    </xf>
    <xf numFmtId="2" fontId="0" fillId="2" borderId="1" xfId="0" applyNumberFormat="1" applyFont="1" applyFill="1" applyBorder="1" applyAlignment="1">
      <alignment horizontal="center"/>
    </xf>
    <xf numFmtId="164" fontId="0" fillId="0" borderId="1" xfId="0" applyNumberFormat="1" applyFont="1" applyBorder="1" applyAlignment="1">
      <alignment horizontal="center"/>
    </xf>
    <xf numFmtId="165" fontId="0" fillId="0" borderId="1" xfId="0" applyNumberFormat="1" applyFont="1" applyBorder="1" applyAlignment="1">
      <alignment horizontal="center"/>
    </xf>
    <xf numFmtId="0" fontId="0" fillId="6" borderId="1" xfId="0" applyFont="1" applyFill="1" applyBorder="1"/>
    <xf numFmtId="1" fontId="0" fillId="6" borderId="1" xfId="0" applyNumberFormat="1" applyFont="1" applyFill="1" applyBorder="1" applyAlignment="1">
      <alignment horizontal="center"/>
    </xf>
    <xf numFmtId="0" fontId="0" fillId="4" borderId="1" xfId="0" applyFont="1" applyFill="1" applyBorder="1"/>
    <xf numFmtId="164" fontId="0" fillId="6" borderId="1" xfId="0" applyNumberFormat="1" applyFont="1" applyFill="1" applyBorder="1" applyAlignment="1">
      <alignment horizontal="center"/>
    </xf>
    <xf numFmtId="0" fontId="0" fillId="0" borderId="0" xfId="0" applyFont="1" applyBorder="1"/>
    <xf numFmtId="2" fontId="0" fillId="0" borderId="0" xfId="0" applyNumberFormat="1" applyFont="1" applyBorder="1" applyAlignment="1">
      <alignment horizontal="center"/>
    </xf>
    <xf numFmtId="0" fontId="0" fillId="3" borderId="1" xfId="0" applyFont="1" applyFill="1" applyBorder="1"/>
    <xf numFmtId="166" fontId="0" fillId="0" borderId="1" xfId="0" applyNumberFormat="1" applyFont="1" applyBorder="1" applyAlignment="1">
      <alignment horizontal="center"/>
    </xf>
    <xf numFmtId="166" fontId="0" fillId="3" borderId="1" xfId="0" applyNumberFormat="1" applyFont="1" applyFill="1" applyBorder="1" applyAlignment="1">
      <alignment horizontal="center"/>
    </xf>
    <xf numFmtId="165" fontId="0" fillId="3" borderId="1" xfId="0" applyNumberFormat="1" applyFont="1" applyFill="1" applyBorder="1" applyAlignment="1">
      <alignment horizontal="center"/>
    </xf>
    <xf numFmtId="1" fontId="0" fillId="3" borderId="1" xfId="0" applyNumberFormat="1" applyFont="1" applyFill="1" applyBorder="1" applyAlignment="1">
      <alignment horizontal="center"/>
    </xf>
    <xf numFmtId="0" fontId="0" fillId="5" borderId="1" xfId="0" applyFont="1" applyFill="1" applyBorder="1"/>
    <xf numFmtId="0" fontId="0" fillId="0" borderId="1" xfId="0" applyFont="1" applyFill="1" applyBorder="1"/>
    <xf numFmtId="0" fontId="0" fillId="0" borderId="1" xfId="0" applyBorder="1"/>
    <xf numFmtId="0" fontId="0" fillId="0" borderId="1" xfId="0" applyFill="1" applyBorder="1"/>
    <xf numFmtId="0" fontId="0" fillId="0" borderId="0" xfId="0" applyFill="1" applyBorder="1"/>
    <xf numFmtId="0" fontId="0" fillId="0" borderId="0" xfId="0" applyFon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trendline>
            <c:spPr>
              <a:ln w="19050" cap="rnd">
                <a:solidFill>
                  <a:schemeClr val="accent1">
                    <a:lumMod val="75000"/>
                  </a:schemeClr>
                </a:solidFill>
                <a:prstDash val="sysDot"/>
              </a:ln>
              <a:effectLst/>
            </c:spPr>
            <c:trendlineType val="linear"/>
          </c:trendline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20-C31D-4B34-8F47-90EF68A5AA29}"/>
            </c:ext>
          </c:extLst>
        </c:ser>
        <c:axId val="79990784"/>
        <c:axId val="79992704"/>
      </c:scatterChart>
      <c:valAx>
        <c:axId val="7999078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567429463929983"/>
              <c:y val="0.86009615384615401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79992704"/>
        <c:crosses val="autoZero"/>
        <c:crossBetween val="midCat"/>
        <c:majorUnit val="1.0000000000000005E-2"/>
      </c:valAx>
      <c:valAx>
        <c:axId val="799927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+mn-lt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1699937227060713E-2"/>
              <c:y val="1.2590854027861881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799907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ro_const!$G$9:$Q$9</c:f>
              <c:numCache>
                <c:formatCode>0.000</c:formatCode>
                <c:ptCount val="11"/>
                <c:pt idx="0">
                  <c:v>1.3682762282962226</c:v>
                </c:pt>
                <c:pt idx="1">
                  <c:v>1.3682762276703158</c:v>
                </c:pt>
                <c:pt idx="2">
                  <c:v>1.3682761933106795</c:v>
                </c:pt>
                <c:pt idx="3">
                  <c:v>1.3682761699763411</c:v>
                </c:pt>
                <c:pt idx="4">
                  <c:v>1.3682761568325768</c:v>
                </c:pt>
                <c:pt idx="5">
                  <c:v>1.3682761524345008</c:v>
                </c:pt>
                <c:pt idx="6">
                  <c:v>1.3682761546959754</c:v>
                </c:pt>
                <c:pt idx="7">
                  <c:v>1.3682761609764142</c:v>
                </c:pt>
                <c:pt idx="8">
                  <c:v>1.3682761683636357</c:v>
                </c:pt>
                <c:pt idx="9">
                  <c:v>1.368276174223594</c:v>
                </c:pt>
                <c:pt idx="10">
                  <c:v>1.3682761770017497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C919-45E3-8D41-446F775A3488}"/>
            </c:ext>
          </c:extLst>
        </c:ser>
        <c:axId val="80017280"/>
        <c:axId val="81358848"/>
      </c:scatterChart>
      <c:valAx>
        <c:axId val="8001728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234354538659112"/>
              <c:y val="0.85048076923076887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1358848"/>
        <c:crosses val="autoZero"/>
        <c:crossBetween val="midCat"/>
        <c:majorUnit val="1.0000000000000005E-2"/>
      </c:valAx>
      <c:valAx>
        <c:axId val="8135884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0849393290506786"/>
              <c:y val="2.2206238643246504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00172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ro_const!$G$6:$Q$6</c:f>
              <c:numCache>
                <c:formatCode>0</c:formatCode>
                <c:ptCount val="11"/>
                <c:pt idx="0">
                  <c:v>133045.93266619311</c:v>
                </c:pt>
                <c:pt idx="1">
                  <c:v>132578.11167090648</c:v>
                </c:pt>
                <c:pt idx="2">
                  <c:v>131967.60012203871</c:v>
                </c:pt>
                <c:pt idx="3">
                  <c:v>131158.8455452167</c:v>
                </c:pt>
                <c:pt idx="4">
                  <c:v>130069.349669505</c:v>
                </c:pt>
                <c:pt idx="5">
                  <c:v>128573.64401212196</c:v>
                </c:pt>
                <c:pt idx="6">
                  <c:v>126475.70529524123</c:v>
                </c:pt>
                <c:pt idx="7">
                  <c:v>123459.75794292716</c:v>
                </c:pt>
                <c:pt idx="8">
                  <c:v>118998.9061138324</c:v>
                </c:pt>
                <c:pt idx="9">
                  <c:v>112177.34017633475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1D5E-4999-A45C-592C4D459E00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ro_const!$M$23:$Q$23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1D5E-4999-A45C-592C4D459E00}"/>
            </c:ext>
          </c:extLst>
        </c:ser>
        <c:axId val="81417344"/>
        <c:axId val="81419264"/>
      </c:scatterChart>
      <c:valAx>
        <c:axId val="81417344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67129137609925"/>
              <c:y val="0.77020042374221309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1419264"/>
        <c:crosses val="autoZero"/>
        <c:crossBetween val="midCat"/>
        <c:majorUnit val="1.0000000000000005E-2"/>
      </c:valAx>
      <c:valAx>
        <c:axId val="81419264"/>
        <c:scaling>
          <c:orientation val="minMax"/>
          <c:max val="140000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Па</a:t>
                </a:r>
              </a:p>
            </c:rich>
          </c:tx>
          <c:layout>
            <c:manualLayout>
              <c:xMode val="edge"/>
              <c:yMode val="edge"/>
              <c:x val="0.13468428280224548"/>
              <c:y val="1.3223286848180128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14173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ro_const!$G$5:$Q$5</c:f>
              <c:numCache>
                <c:formatCode>0</c:formatCode>
                <c:ptCount val="11"/>
                <c:pt idx="0">
                  <c:v>57.428250355679211</c:v>
                </c:pt>
                <c:pt idx="1">
                  <c:v>63.632410337108162</c:v>
                </c:pt>
                <c:pt idx="2">
                  <c:v>70.89907268865565</c:v>
                </c:pt>
                <c:pt idx="3">
                  <c:v>79.485464209087965</c:v>
                </c:pt>
                <c:pt idx="4">
                  <c:v>89.731636459413522</c:v>
                </c:pt>
                <c:pt idx="5">
                  <c:v>102.09466159285526</c:v>
                </c:pt>
                <c:pt idx="6">
                  <c:v>117.20050456973416</c:v>
                </c:pt>
                <c:pt idx="7">
                  <c:v>135.92484615950946</c:v>
                </c:pt>
                <c:pt idx="8">
                  <c:v>159.52291059141209</c:v>
                </c:pt>
                <c:pt idx="9">
                  <c:v>189.84544813083312</c:v>
                </c:pt>
                <c:pt idx="10">
                  <c:v>229.71299270658579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3491-4D9A-9413-03D5109C3A2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ro_const!$M$22:$Q$22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5-3491-4D9A-9413-03D5109C3A24}"/>
            </c:ext>
          </c:extLst>
        </c:ser>
        <c:axId val="82444672"/>
        <c:axId val="82446592"/>
      </c:scatterChart>
      <c:valAx>
        <c:axId val="8244467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068736054674059"/>
              <c:y val="0.7734132751478354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2446592"/>
        <c:crosses val="autoZero"/>
        <c:crossBetween val="midCat"/>
        <c:majorUnit val="1.0000000000000005E-2"/>
      </c:valAx>
      <c:valAx>
        <c:axId val="82446592"/>
        <c:scaling>
          <c:orientation val="minMax"/>
          <c:max val="2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8.5653104925053528E-2"/>
              <c:y val="1.7472346077222284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2444672"/>
        <c:crosses val="autoZero"/>
        <c:crossBetween val="midCat"/>
      </c:valAx>
    </c:plotArea>
    <c:legend>
      <c:legendPos val="b"/>
      <c:layout>
        <c:manualLayout>
          <c:xMode val="edge"/>
          <c:yMode val="edge"/>
          <c:x val="0.44439663457485401"/>
          <c:y val="0.93614419884261457"/>
          <c:w val="0.30535354386911501"/>
          <c:h val="5.4217246940518014E-2"/>
        </c:manualLayout>
      </c:layout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U, ro=const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ro_const!$G$5:$Q$5</c:f>
              <c:numCache>
                <c:formatCode>0</c:formatCode>
                <c:ptCount val="11"/>
                <c:pt idx="0">
                  <c:v>57.428250355679211</c:v>
                </c:pt>
                <c:pt idx="1">
                  <c:v>63.632410337108162</c:v>
                </c:pt>
                <c:pt idx="2">
                  <c:v>70.89907268865565</c:v>
                </c:pt>
                <c:pt idx="3">
                  <c:v>79.485464209087965</c:v>
                </c:pt>
                <c:pt idx="4">
                  <c:v>89.731636459413522</c:v>
                </c:pt>
                <c:pt idx="5">
                  <c:v>102.09466159285526</c:v>
                </c:pt>
                <c:pt idx="6">
                  <c:v>117.20050456973416</c:v>
                </c:pt>
                <c:pt idx="7">
                  <c:v>135.92484615950946</c:v>
                </c:pt>
                <c:pt idx="8">
                  <c:v>159.52291059141209</c:v>
                </c:pt>
                <c:pt idx="9">
                  <c:v>189.84544813083312</c:v>
                </c:pt>
                <c:pt idx="10">
                  <c:v>229.71299270658579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B218-4F06-B954-62E18A8D1214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ro_const!$M$22:$Q$22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B218-4F06-B954-62E18A8D1214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3-B218-4F06-B954-62E18A8D1214}"/>
            </c:ext>
          </c:extLst>
        </c:ser>
        <c:axId val="82506496"/>
        <c:axId val="82508416"/>
      </c:scatterChart>
      <c:valAx>
        <c:axId val="8250649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716973821476377"/>
              <c:y val="0.81465265254380925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2508416"/>
        <c:crosses val="autoZero"/>
        <c:crossBetween val="midCat"/>
        <c:majorUnit val="1.0000000000000005E-2"/>
      </c:valAx>
      <c:valAx>
        <c:axId val="82508416"/>
        <c:scaling>
          <c:orientation val="minMax"/>
          <c:max val="2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2.8877239116126031E-2"/>
              <c:y val="1.1641607511218314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2506496"/>
        <c:crosses val="autoZero"/>
        <c:crossBetween val="midCat"/>
      </c:valAx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 orientation="portrait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ro_const!$G$3:$Q$3</c:f>
              <c:numCache>
                <c:formatCode>0.000</c:formatCode>
                <c:ptCount val="11"/>
                <c:pt idx="0" formatCode="0.0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 formatCode="0.00">
                  <c:v>0.04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39E2-4F46-82D1-881218EE0E3E}"/>
            </c:ext>
          </c:extLst>
        </c:ser>
        <c:axId val="87174528"/>
        <c:axId val="87201280"/>
      </c:scatterChart>
      <c:valAx>
        <c:axId val="87174528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41453874664801"/>
              <c:y val="0.85364705882352998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7201280"/>
        <c:crosses val="autoZero"/>
        <c:crossBetween val="midCat"/>
        <c:majorUnit val="1.0000000000000005E-2"/>
      </c:valAx>
      <c:valAx>
        <c:axId val="872012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R,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9.8336948662328297E-2"/>
              <c:y val="1.1375142813030745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71745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ro_var!$G$9:$Q$9</c:f>
              <c:numCache>
                <c:formatCode>0.000</c:formatCode>
                <c:ptCount val="11"/>
                <c:pt idx="0">
                  <c:v>1.3660305191040134</c:v>
                </c:pt>
                <c:pt idx="1">
                  <c:v>1.3660276794910102</c:v>
                </c:pt>
                <c:pt idx="2">
                  <c:v>1.3658771086896666</c:v>
                </c:pt>
                <c:pt idx="3">
                  <c:v>1.3659242672573835</c:v>
                </c:pt>
                <c:pt idx="4">
                  <c:v>1.3661394697588616</c:v>
                </c:pt>
                <c:pt idx="5">
                  <c:v>1.366482223242276</c:v>
                </c:pt>
                <c:pt idx="6">
                  <c:v>1.3669009817615767</c:v>
                </c:pt>
                <c:pt idx="7">
                  <c:v>1.3673348461226706</c:v>
                </c:pt>
                <c:pt idx="8">
                  <c:v>1.3677186458786699</c:v>
                </c:pt>
                <c:pt idx="9">
                  <c:v>1.3679932839141384</c:v>
                </c:pt>
                <c:pt idx="10">
                  <c:v>1.368123315349423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47B9-41E1-B137-27AF07D8789B}"/>
            </c:ext>
          </c:extLst>
        </c:ser>
        <c:axId val="84579840"/>
        <c:axId val="84581760"/>
      </c:scatterChart>
      <c:valAx>
        <c:axId val="84579840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89973611068302994"/>
              <c:y val="0.85364705882352998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4581760"/>
        <c:crosses val="autoZero"/>
        <c:crossBetween val="midCat"/>
        <c:majorUnit val="1.0000000000000005E-2"/>
      </c:valAx>
      <c:valAx>
        <c:axId val="8458176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G,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кг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/c</a:t>
                </a:r>
                <a:endParaRPr lang="ru-RU" sz="1200">
                  <a:solidFill>
                    <a:schemeClr val="tx1"/>
                  </a:solidFill>
                  <a:latin typeface="Times New Roman" panose="02020603050405020304" pitchFamily="18" charset="0"/>
                  <a:cs typeface="Times New Roman" panose="02020603050405020304" pitchFamily="18" charset="0"/>
                </a:endParaRPr>
              </a:p>
            </c:rich>
          </c:tx>
          <c:layout>
            <c:manualLayout>
              <c:xMode val="edge"/>
              <c:yMode val="edge"/>
              <c:x val="0.11225041110891525"/>
              <c:y val="1.4512397714991505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457984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p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ro_var!$G$6:$Q$6</c:f>
              <c:numCache>
                <c:formatCode>0</c:formatCode>
                <c:ptCount val="11"/>
                <c:pt idx="0">
                  <c:v>133575.51445170629</c:v>
                </c:pt>
                <c:pt idx="1">
                  <c:v>133227.85858173415</c:v>
                </c:pt>
                <c:pt idx="2">
                  <c:v>132771.60956635035</c:v>
                </c:pt>
                <c:pt idx="3">
                  <c:v>132160.88642409007</c:v>
                </c:pt>
                <c:pt idx="4">
                  <c:v>131326.83841130373</c:v>
                </c:pt>
                <c:pt idx="5">
                  <c:v>130160.38230722559</c:v>
                </c:pt>
                <c:pt idx="6">
                  <c:v>128480.77690377602</c:v>
                </c:pt>
                <c:pt idx="7">
                  <c:v>125969.8958123503</c:v>
                </c:pt>
                <c:pt idx="8">
                  <c:v>122015.72675961358</c:v>
                </c:pt>
                <c:pt idx="9">
                  <c:v>115248.62599135554</c:v>
                </c:pt>
                <c:pt idx="10">
                  <c:v>101325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900F-4507-AA59-18B11041331B}"/>
            </c:ext>
          </c:extLst>
        </c:ser>
        <c:ser>
          <c:idx val="1"/>
          <c:order val="1"/>
          <c:tx>
            <c:v>p_3D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ro_const!$M$23:$Q$23</c:f>
              <c:numCache>
                <c:formatCode>General</c:formatCode>
                <c:ptCount val="5"/>
                <c:pt idx="0">
                  <c:v>133165</c:v>
                </c:pt>
                <c:pt idx="1">
                  <c:v>132230</c:v>
                </c:pt>
                <c:pt idx="2">
                  <c:v>129765</c:v>
                </c:pt>
                <c:pt idx="3">
                  <c:v>123565</c:v>
                </c:pt>
                <c:pt idx="4">
                  <c:v>101336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900F-4507-AA59-18B11041331B}"/>
            </c:ext>
          </c:extLst>
        </c:ser>
        <c:axId val="88998272"/>
        <c:axId val="89000192"/>
      </c:scatterChart>
      <c:valAx>
        <c:axId val="88998272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705928570208549"/>
              <c:y val="0.77590877962328564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9000192"/>
        <c:crosses val="autoZero"/>
        <c:crossBetween val="midCat"/>
        <c:majorUnit val="1.0000000000000005E-2"/>
      </c:valAx>
      <c:valAx>
        <c:axId val="89000192"/>
        <c:scaling>
          <c:orientation val="minMax"/>
          <c:max val="140000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wrap="square" anchor="ctr" anchorCtr="0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>
                    <a:solidFill>
                      <a:schemeClr val="tx1"/>
                    </a:solidFill>
                  </a:rPr>
                  <a:t>P,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П</a:t>
                </a:r>
                <a:r>
                  <a:rPr lang="ru-RU" sz="1200">
                    <a:solidFill>
                      <a:schemeClr val="tx1"/>
                    </a:solidFill>
                  </a:rPr>
                  <a:t>а</a:t>
                </a:r>
              </a:p>
            </c:rich>
          </c:tx>
          <c:layout>
            <c:manualLayout>
              <c:xMode val="edge"/>
              <c:yMode val="edge"/>
              <c:x val="0.12147505422993497"/>
              <c:y val="1.966785804506057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899827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U</c:v>
          </c:tx>
          <c:spPr>
            <a:ln w="1905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ro_var!$G$2:$Q$2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05A8-43AE-913D-3F899EDF383D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ro_const!$M$22:$Q$22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05A8-43AE-913D-3F899EDF383D}"/>
            </c:ext>
          </c:extLst>
        </c:ser>
        <c:axId val="89030016"/>
        <c:axId val="89048576"/>
      </c:scatterChart>
      <c:valAx>
        <c:axId val="8903001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0815477820062118"/>
              <c:y val="0.77904182192083671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9048576"/>
        <c:crosses val="autoZero"/>
        <c:crossBetween val="midCat"/>
        <c:majorUnit val="1.0000000000000005E-2"/>
      </c:valAx>
      <c:valAx>
        <c:axId val="89048576"/>
        <c:scaling>
          <c:orientation val="minMax"/>
          <c:max val="2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9.2102901422699737E-2"/>
              <c:y val="1.904914386535516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9030016"/>
        <c:crosses val="autoZero"/>
        <c:crossBetween val="midCat"/>
      </c:valAx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autoTitleDeleted val="1"/>
    <c:plotArea>
      <c:layout/>
      <c:scatterChart>
        <c:scatterStyle val="smoothMarker"/>
        <c:ser>
          <c:idx val="0"/>
          <c:order val="0"/>
          <c:tx>
            <c:v>U, ro=const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ro_const!$G$5:$Q$5</c:f>
              <c:numCache>
                <c:formatCode>0</c:formatCode>
                <c:ptCount val="11"/>
                <c:pt idx="0">
                  <c:v>57.428250355679211</c:v>
                </c:pt>
                <c:pt idx="1">
                  <c:v>63.632410337108162</c:v>
                </c:pt>
                <c:pt idx="2">
                  <c:v>70.89907268865565</c:v>
                </c:pt>
                <c:pt idx="3">
                  <c:v>79.485464209087965</c:v>
                </c:pt>
                <c:pt idx="4">
                  <c:v>89.731636459413522</c:v>
                </c:pt>
                <c:pt idx="5">
                  <c:v>102.09466159285526</c:v>
                </c:pt>
                <c:pt idx="6">
                  <c:v>117.20050456973416</c:v>
                </c:pt>
                <c:pt idx="7">
                  <c:v>135.92484615950946</c:v>
                </c:pt>
                <c:pt idx="8">
                  <c:v>159.52291059141209</c:v>
                </c:pt>
                <c:pt idx="9">
                  <c:v>189.84544813083312</c:v>
                </c:pt>
                <c:pt idx="10">
                  <c:v>229.71299270658579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0-E5C1-4131-898F-874A5AA66C39}"/>
            </c:ext>
          </c:extLst>
        </c:ser>
        <c:ser>
          <c:idx val="1"/>
          <c:order val="1"/>
          <c:tx>
            <c:v>U_3D</c:v>
          </c:tx>
          <c:spPr>
            <a:ln w="19050" cap="rnd">
              <a:solidFill>
                <a:schemeClr val="accent2"/>
              </a:solidFill>
              <a:prstDash val="dash"/>
              <a:round/>
            </a:ln>
            <a:effectLst/>
          </c:spPr>
          <c:marker>
            <c:symbol val="none"/>
          </c:marker>
          <c:dPt>
            <c:idx val="4"/>
            <c:spPr>
              <a:ln w="19050" cap="rnd">
                <a:solidFill>
                  <a:schemeClr val="accent2">
                    <a:lumMod val="75000"/>
                  </a:schemeClr>
                </a:solidFill>
                <a:prstDash val="dash"/>
                <a:round/>
              </a:ln>
              <a:effectLst/>
            </c:spPr>
            <c:extLst xmlns:c16r2="http://schemas.microsoft.com/office/drawing/2015/06/chart">
              <c:ext xmlns:c16="http://schemas.microsoft.com/office/drawing/2014/chart" uri="{C3380CC4-5D6E-409C-BE32-E72D297353CC}">
                <c16:uniqueId val="{00000003-E5C1-4131-898F-874A5AA66C39}"/>
              </c:ext>
            </c:extLst>
          </c:dPt>
          <c:xVal>
            <c:numRef>
              <c:f>ro_const!$M$21:$Q$21</c:f>
              <c:numCache>
                <c:formatCode>General</c:formatCode>
                <c:ptCount val="5"/>
                <c:pt idx="0">
                  <c:v>0</c:v>
                </c:pt>
                <c:pt idx="1">
                  <c:v>2.5000000000000001E-2</c:v>
                </c:pt>
                <c:pt idx="2">
                  <c:v>0.05</c:v>
                </c:pt>
                <c:pt idx="3">
                  <c:v>7.4999999999999997E-2</c:v>
                </c:pt>
                <c:pt idx="4">
                  <c:v>0.1</c:v>
                </c:pt>
              </c:numCache>
            </c:numRef>
          </c:xVal>
          <c:yVal>
            <c:numRef>
              <c:f>ro_const!$M$22:$Q$22</c:f>
              <c:numCache>
                <c:formatCode>General</c:formatCode>
                <c:ptCount val="5"/>
                <c:pt idx="0">
                  <c:v>46.31</c:v>
                </c:pt>
                <c:pt idx="1">
                  <c:v>58.19</c:v>
                </c:pt>
                <c:pt idx="2">
                  <c:v>80.48</c:v>
                </c:pt>
                <c:pt idx="3">
                  <c:v>120.03</c:v>
                </c:pt>
                <c:pt idx="4">
                  <c:v>213.26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1-E5C1-4131-898F-874A5AA66C39}"/>
            </c:ext>
          </c:extLst>
        </c:ser>
        <c:ser>
          <c:idx val="2"/>
          <c:order val="2"/>
          <c:tx>
            <c:v>U, ro=var</c:v>
          </c:tx>
          <c:spPr>
            <a:ln>
              <a:solidFill>
                <a:schemeClr val="accent3">
                  <a:lumMod val="75000"/>
                </a:schemeClr>
              </a:solidFill>
              <a:prstDash val="lgDashDot"/>
            </a:ln>
          </c:spPr>
          <c:marker>
            <c:symbol val="none"/>
          </c:marker>
          <c:xVal>
            <c:numRef>
              <c:f>ro_const!$G$2:$Q$2</c:f>
              <c:numCache>
                <c:formatCode>0.00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ro_var!$G$5:$Q$5</c:f>
              <c:numCache>
                <c:formatCode>0</c:formatCode>
                <c:ptCount val="11"/>
                <c:pt idx="0">
                  <c:v>41.933062687226695</c:v>
                </c:pt>
                <c:pt idx="1">
                  <c:v>46.551386940871602</c:v>
                </c:pt>
                <c:pt idx="2">
                  <c:v>51.991442662699896</c:v>
                </c:pt>
                <c:pt idx="3">
                  <c:v>58.486335177502596</c:v>
                </c:pt>
                <c:pt idx="4">
                  <c:v>66.342073094497692</c:v>
                </c:pt>
                <c:pt idx="5">
                  <c:v>75.99585506347006</c:v>
                </c:pt>
                <c:pt idx="6">
                  <c:v>88.101272594774684</c:v>
                </c:pt>
                <c:pt idx="7">
                  <c:v>103.70025337999361</c:v>
                </c:pt>
                <c:pt idx="8">
                  <c:v>124.62615939424906</c:v>
                </c:pt>
                <c:pt idx="9">
                  <c:v>154.71264266962615</c:v>
                </c:pt>
                <c:pt idx="10">
                  <c:v>205.86865898669578</c:v>
                </c:pt>
              </c:numCache>
            </c:numRef>
          </c:yVal>
          <c:smooth val="1"/>
          <c:extLst xmlns:c16r2="http://schemas.microsoft.com/office/drawing/2015/06/chart">
            <c:ext xmlns:c16="http://schemas.microsoft.com/office/drawing/2014/chart" uri="{C3380CC4-5D6E-409C-BE32-E72D297353CC}">
              <c16:uniqueId val="{00000002-E5C1-4131-898F-874A5AA66C39}"/>
            </c:ext>
          </c:extLst>
        </c:ser>
        <c:axId val="89101056"/>
        <c:axId val="89102976"/>
      </c:scatterChart>
      <c:valAx>
        <c:axId val="89101056"/>
        <c:scaling>
          <c:orientation val="minMax"/>
          <c:max val="0.1"/>
        </c:scaling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x,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</a:p>
            </c:rich>
          </c:tx>
          <c:layout>
            <c:manualLayout>
              <c:xMode val="edge"/>
              <c:yMode val="edge"/>
              <c:x val="0.91410116792647511"/>
              <c:y val="0.82821227808249298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.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9102976"/>
        <c:crosses val="autoZero"/>
        <c:crossBetween val="midCat"/>
        <c:majorUnit val="1.0000000000000005E-2"/>
      </c:valAx>
      <c:valAx>
        <c:axId val="89102976"/>
        <c:scaling>
          <c:orientation val="minMax"/>
          <c:max val="200"/>
          <c:min val="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U, 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м</a:t>
                </a:r>
                <a:r>
                  <a:rPr lang="en-US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/</a:t>
                </a:r>
                <a:r>
                  <a:rPr lang="ru-RU" sz="1200">
                    <a:solidFill>
                      <a:schemeClr val="tx1"/>
                    </a:solidFill>
                    <a:latin typeface="Times New Roman" panose="02020603050405020304" pitchFamily="18" charset="0"/>
                    <a:cs typeface="Times New Roman" panose="02020603050405020304" pitchFamily="18" charset="0"/>
                  </a:rPr>
                  <a:t>с</a:t>
                </a:r>
              </a:p>
            </c:rich>
          </c:tx>
          <c:layout>
            <c:manualLayout>
              <c:xMode val="edge"/>
              <c:yMode val="edge"/>
              <c:x val="7.3935708700355957E-2"/>
              <c:y val="1.2509050629547425E-2"/>
            </c:manualLayout>
          </c:layout>
          <c:spPr>
            <a:solidFill>
              <a:schemeClr val="bg1"/>
            </a:solidFill>
            <a:ln>
              <a:noFill/>
            </a:ln>
            <a:effectLst/>
          </c:spPr>
        </c:title>
        <c:numFmt formatCode="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Times New Roman" panose="02020603050405020304" pitchFamily="18" charset="0"/>
              </a:defRPr>
            </a:pPr>
            <a:endParaRPr lang="ru-RU"/>
          </a:p>
        </c:txPr>
        <c:crossAx val="89101056"/>
        <c:crosses val="autoZero"/>
        <c:crossBetween val="midCat"/>
      </c:valAx>
    </c:plotArea>
    <c:legend>
      <c:legendPos val="b"/>
      <c:layout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Times New Roman" panose="02020603050405020304" pitchFamily="18" charset="0"/>
            </a:defRPr>
          </a:pPr>
          <a:endParaRPr lang="ru-RU"/>
        </a:p>
      </c:txPr>
    </c:legend>
    <c:plotVisOnly val="1"/>
    <c:dispBlanksAs val="gap"/>
    <c:extLst xmlns:c16r2="http://schemas.microsoft.com/office/drawing/2015/06/chart"/>
  </c:chart>
  <c:txPr>
    <a:bodyPr/>
    <a:lstStyle/>
    <a:p>
      <a:pPr>
        <a:defRPr/>
      </a:pPr>
      <a:endParaRPr lang="ru-RU"/>
    </a:p>
  </c:txPr>
  <c:printSettings>
    <c:headerFooter/>
    <c:pageMargins b="0.75000000000000033" l="0.70000000000000029" r="0.70000000000000029" t="0.75000000000000033" header="0.30000000000000016" footer="0.30000000000000016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29</xdr:row>
      <xdr:rowOff>137432</xdr:rowOff>
    </xdr:from>
    <xdr:to>
      <xdr:col>8</xdr:col>
      <xdr:colOff>123264</xdr:colOff>
      <xdr:row>44</xdr:row>
      <xdr:rowOff>168088</xdr:rowOff>
    </xdr:to>
    <xdr:graphicFrame macro="">
      <xdr:nvGraphicFramePr>
        <xdr:cNvPr id="5" name="Диаграмма 4">
          <a:extLst>
            <a:ext uri="{FF2B5EF4-FFF2-40B4-BE49-F238E27FC236}">
              <a16:creationId xmlns:a16="http://schemas.microsoft.com/office/drawing/2014/main" xmlns="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380998</xdr:colOff>
      <xdr:row>29</xdr:row>
      <xdr:rowOff>178493</xdr:rowOff>
    </xdr:from>
    <xdr:to>
      <xdr:col>17</xdr:col>
      <xdr:colOff>11205</xdr:colOff>
      <xdr:row>44</xdr:row>
      <xdr:rowOff>112058</xdr:rowOff>
    </xdr:to>
    <xdr:graphicFrame macro="">
      <xdr:nvGraphicFramePr>
        <xdr:cNvPr id="6" name="Диаграмма 5">
          <a:extLst>
            <a:ext uri="{FF2B5EF4-FFF2-40B4-BE49-F238E27FC236}">
              <a16:creationId xmlns:a16="http://schemas.microsoft.com/office/drawing/2014/main" xmlns="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201385</xdr:colOff>
      <xdr:row>45</xdr:row>
      <xdr:rowOff>87086</xdr:rowOff>
    </xdr:from>
    <xdr:to>
      <xdr:col>7</xdr:col>
      <xdr:colOff>210910</xdr:colOff>
      <xdr:row>66</xdr:row>
      <xdr:rowOff>39461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435429</xdr:colOff>
      <xdr:row>45</xdr:row>
      <xdr:rowOff>76200</xdr:rowOff>
    </xdr:from>
    <xdr:to>
      <xdr:col>14</xdr:col>
      <xdr:colOff>594632</xdr:colOff>
      <xdr:row>66</xdr:row>
      <xdr:rowOff>28575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17</xdr:col>
      <xdr:colOff>601275</xdr:colOff>
      <xdr:row>30</xdr:row>
      <xdr:rowOff>8484</xdr:rowOff>
    </xdr:from>
    <xdr:to>
      <xdr:col>27</xdr:col>
      <xdr:colOff>146396</xdr:colOff>
      <xdr:row>55</xdr:row>
      <xdr:rowOff>9845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0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76200</xdr:colOff>
      <xdr:row>30</xdr:row>
      <xdr:rowOff>11906</xdr:rowOff>
    </xdr:from>
    <xdr:to>
      <xdr:col>9</xdr:col>
      <xdr:colOff>19049</xdr:colOff>
      <xdr:row>47</xdr:row>
      <xdr:rowOff>95249</xdr:rowOff>
    </xdr:to>
    <xdr:graphicFrame macro="">
      <xdr:nvGraphicFramePr>
        <xdr:cNvPr id="7" name="Диаграмма 6">
          <a:extLst>
            <a:ext uri="{FF2B5EF4-FFF2-40B4-BE49-F238E27FC236}">
              <a16:creationId xmlns:a16="http://schemas.microsoft.com/office/drawing/2014/main" xmlns="" id="{00000000-0008-0000-01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428625</xdr:colOff>
      <xdr:row>30</xdr:row>
      <xdr:rowOff>9525</xdr:rowOff>
    </xdr:from>
    <xdr:to>
      <xdr:col>16</xdr:col>
      <xdr:colOff>607218</xdr:colOff>
      <xdr:row>47</xdr:row>
      <xdr:rowOff>114301</xdr:rowOff>
    </xdr:to>
    <xdr:graphicFrame macro="">
      <xdr:nvGraphicFramePr>
        <xdr:cNvPr id="8" name="Диаграмма 7">
          <a:extLst>
            <a:ext uri="{FF2B5EF4-FFF2-40B4-BE49-F238E27FC236}">
              <a16:creationId xmlns:a16="http://schemas.microsoft.com/office/drawing/2014/main" xmlns="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295275</xdr:colOff>
      <xdr:row>52</xdr:row>
      <xdr:rowOff>47625</xdr:rowOff>
    </xdr:from>
    <xdr:to>
      <xdr:col>9</xdr:col>
      <xdr:colOff>304800</xdr:colOff>
      <xdr:row>73</xdr:row>
      <xdr:rowOff>100693</xdr:rowOff>
    </xdr:to>
    <xdr:graphicFrame macro="">
      <xdr:nvGraphicFramePr>
        <xdr:cNvPr id="9" name="Диаграмма 8">
          <a:extLst>
            <a:ext uri="{FF2B5EF4-FFF2-40B4-BE49-F238E27FC236}">
              <a16:creationId xmlns:a16="http://schemas.microsoft.com/office/drawing/2014/main" xmlns="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447675</xdr:colOff>
      <xdr:row>52</xdr:row>
      <xdr:rowOff>19050</xdr:rowOff>
    </xdr:from>
    <xdr:to>
      <xdr:col>17</xdr:col>
      <xdr:colOff>0</xdr:colOff>
      <xdr:row>73</xdr:row>
      <xdr:rowOff>72118</xdr:rowOff>
    </xdr:to>
    <xdr:graphicFrame macro="">
      <xdr:nvGraphicFramePr>
        <xdr:cNvPr id="10" name="Диаграмма 9">
          <a:extLst>
            <a:ext uri="{FF2B5EF4-FFF2-40B4-BE49-F238E27FC236}">
              <a16:creationId xmlns:a16="http://schemas.microsoft.com/office/drawing/2014/main" xmlns="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16670</xdr:colOff>
      <xdr:row>30</xdr:row>
      <xdr:rowOff>4762</xdr:rowOff>
    </xdr:from>
    <xdr:to>
      <xdr:col>27</xdr:col>
      <xdr:colOff>153081</xdr:colOff>
      <xdr:row>55</xdr:row>
      <xdr:rowOff>77561</xdr:rowOff>
    </xdr:to>
    <xdr:graphicFrame macro="">
      <xdr:nvGraphicFramePr>
        <xdr:cNvPr id="12" name="Диаграмма 11">
          <a:extLst>
            <a:ext uri="{FF2B5EF4-FFF2-40B4-BE49-F238E27FC236}">
              <a16:creationId xmlns:a16="http://schemas.microsoft.com/office/drawing/2014/main" xmlns="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V29"/>
  <sheetViews>
    <sheetView tabSelected="1" zoomScaleNormal="100" workbookViewId="0">
      <selection activeCell="T26" sqref="T26"/>
    </sheetView>
  </sheetViews>
  <sheetFormatPr defaultRowHeight="15"/>
  <cols>
    <col min="7" max="7" width="11.140625" bestFit="1" customWidth="1"/>
  </cols>
  <sheetData>
    <row r="1" spans="2:17">
      <c r="B1" s="2"/>
      <c r="C1" s="2"/>
      <c r="D1" s="2"/>
      <c r="E1" s="2"/>
      <c r="F1" s="22" t="s">
        <v>23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>
      <c r="B5" s="2"/>
      <c r="C5" s="2"/>
      <c r="D5" s="2"/>
      <c r="E5" s="2"/>
      <c r="F5" s="9" t="s">
        <v>11</v>
      </c>
      <c r="G5" s="10">
        <v>57.428250355679211</v>
      </c>
      <c r="H5" s="10">
        <v>63.632410337108162</v>
      </c>
      <c r="I5" s="10">
        <v>70.89907268865565</v>
      </c>
      <c r="J5" s="10">
        <v>79.485464209087965</v>
      </c>
      <c r="K5" s="10">
        <v>89.731636459413522</v>
      </c>
      <c r="L5" s="10">
        <v>102.09466159285526</v>
      </c>
      <c r="M5" s="10">
        <v>117.20050456973416</v>
      </c>
      <c r="N5" s="10">
        <v>135.92484615950946</v>
      </c>
      <c r="O5" s="10">
        <v>159.52291059141209</v>
      </c>
      <c r="P5" s="10">
        <v>189.84544813083312</v>
      </c>
      <c r="Q5" s="10">
        <v>229.71299270658579</v>
      </c>
    </row>
    <row r="6" spans="2:17">
      <c r="B6" s="11" t="s">
        <v>2</v>
      </c>
      <c r="C6" s="11">
        <v>1.4</v>
      </c>
      <c r="D6" s="2"/>
      <c r="E6" s="2"/>
      <c r="F6" s="9" t="s">
        <v>12</v>
      </c>
      <c r="G6" s="10">
        <v>133045.93266619311</v>
      </c>
      <c r="H6" s="10">
        <v>132578.11167090648</v>
      </c>
      <c r="I6" s="10">
        <v>131967.60012203871</v>
      </c>
      <c r="J6" s="10">
        <v>131158.8455452167</v>
      </c>
      <c r="K6" s="10">
        <v>130069.349669505</v>
      </c>
      <c r="L6" s="10">
        <v>128573.64401212196</v>
      </c>
      <c r="M6" s="10">
        <v>126475.70529524123</v>
      </c>
      <c r="N6" s="10">
        <v>123459.75794292716</v>
      </c>
      <c r="O6" s="10">
        <v>118998.9061138324</v>
      </c>
      <c r="P6" s="10">
        <v>112177.34017633475</v>
      </c>
      <c r="Q6" s="10">
        <v>101325</v>
      </c>
    </row>
    <row r="7" spans="2:17">
      <c r="B7" s="11" t="s">
        <v>3</v>
      </c>
      <c r="C7" s="11">
        <v>286.97199999999998</v>
      </c>
      <c r="D7" s="2"/>
      <c r="E7" s="2"/>
      <c r="F7" s="9" t="s">
        <v>13</v>
      </c>
      <c r="G7" s="12">
        <v>1.1850000000000001</v>
      </c>
      <c r="H7" s="12">
        <v>1.1850000000000001</v>
      </c>
      <c r="I7" s="12">
        <v>1.1850000000000001</v>
      </c>
      <c r="J7" s="12">
        <v>1.1850000000000001</v>
      </c>
      <c r="K7" s="12">
        <v>1.1850000000000001</v>
      </c>
      <c r="L7" s="12">
        <v>1.1850000000000001</v>
      </c>
      <c r="M7" s="12">
        <v>1.1850000000000001</v>
      </c>
      <c r="N7" s="12">
        <v>1.1850000000000001</v>
      </c>
      <c r="O7" s="12">
        <v>1.1850000000000001</v>
      </c>
      <c r="P7" s="12">
        <v>1.1850000000000001</v>
      </c>
      <c r="Q7" s="12">
        <v>1.1850000000000001</v>
      </c>
    </row>
    <row r="8" spans="2:17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>
      <c r="B9" s="2"/>
      <c r="C9" s="2"/>
      <c r="D9" s="2"/>
      <c r="E9" s="2"/>
      <c r="F9" s="3" t="s">
        <v>14</v>
      </c>
      <c r="G9" s="7">
        <f>G4*G7*G12</f>
        <v>1.3682762282962226</v>
      </c>
      <c r="H9" s="7">
        <f>H4*H7*H12</f>
        <v>1.3682762276703158</v>
      </c>
      <c r="I9" s="7">
        <f t="shared" ref="I9:Q9" si="3">I4*I7*I12</f>
        <v>1.3682761933106795</v>
      </c>
      <c r="J9" s="7">
        <f t="shared" si="3"/>
        <v>1.3682761699763411</v>
      </c>
      <c r="K9" s="7">
        <f t="shared" si="3"/>
        <v>1.3682761568325768</v>
      </c>
      <c r="L9" s="7">
        <f t="shared" si="3"/>
        <v>1.3682761524345008</v>
      </c>
      <c r="M9" s="7">
        <f t="shared" si="3"/>
        <v>1.3682761546959754</v>
      </c>
      <c r="N9" s="7">
        <f t="shared" si="3"/>
        <v>1.3682761609764142</v>
      </c>
      <c r="O9" s="7">
        <f t="shared" si="3"/>
        <v>1.3682761683636357</v>
      </c>
      <c r="P9" s="7">
        <f t="shared" si="3"/>
        <v>1.368276174223594</v>
      </c>
      <c r="Q9" s="7">
        <f t="shared" si="3"/>
        <v>1.3682761770017497</v>
      </c>
    </row>
    <row r="10" spans="2:17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3.5944737095355443E-8</v>
      </c>
      <c r="H10" s="16">
        <f>(H12)*(H9-I9)</f>
        <v>2.186386471722869E-6</v>
      </c>
      <c r="I10" s="16">
        <f t="shared" ref="I10:P10" si="4">(I12)*(I9-J9)</f>
        <v>1.6543829582327335E-6</v>
      </c>
      <c r="J10" s="16">
        <f t="shared" si="4"/>
        <v>1.0447382066002364E-6</v>
      </c>
      <c r="K10" s="16">
        <f t="shared" si="4"/>
        <v>3.9464654806190623E-7</v>
      </c>
      <c r="L10" s="16">
        <f t="shared" si="4"/>
        <v>-2.3088448022466393E-7</v>
      </c>
      <c r="M10" s="16">
        <f t="shared" si="4"/>
        <v>-7.3607060047118432E-7</v>
      </c>
      <c r="N10" s="16">
        <f t="shared" si="4"/>
        <v>-1.0041069461172135E-6</v>
      </c>
      <c r="O10" s="16">
        <f t="shared" si="4"/>
        <v>-9.3479760339784589E-7</v>
      </c>
      <c r="P10" s="16">
        <f t="shared" si="4"/>
        <v>-5.2742021488659508E-7</v>
      </c>
      <c r="Q10" s="17">
        <v>0</v>
      </c>
    </row>
    <row r="11" spans="2:17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57.428250329240115</v>
      </c>
      <c r="H12" s="5">
        <f>((G6-H6)/H7+G5*H5)^0.5</f>
        <v>63.63241030800004</v>
      </c>
      <c r="I12" s="5">
        <f t="shared" ref="I12:Q12" si="5">((H6-I6)/I7+H5*I5)^0.5</f>
        <v>70.899072667720347</v>
      </c>
      <c r="J12" s="5">
        <f t="shared" si="5"/>
        <v>79.485464195823354</v>
      </c>
      <c r="K12" s="5">
        <f t="shared" si="5"/>
        <v>89.731636452847326</v>
      </c>
      <c r="L12" s="5">
        <f t="shared" si="5"/>
        <v>102.09466159151926</v>
      </c>
      <c r="M12" s="5">
        <f t="shared" si="5"/>
        <v>117.20050457172755</v>
      </c>
      <c r="N12" s="5">
        <f t="shared" si="5"/>
        <v>135.92484616270843</v>
      </c>
      <c r="O12" s="5">
        <f t="shared" si="5"/>
        <v>159.52291059387545</v>
      </c>
      <c r="P12" s="5">
        <f t="shared" si="5"/>
        <v>189.84544813138811</v>
      </c>
      <c r="Q12" s="5">
        <f t="shared" si="5"/>
        <v>229.71299270538987</v>
      </c>
    </row>
    <row r="13" spans="2:17">
      <c r="B13" s="2"/>
      <c r="C13" s="2"/>
      <c r="D13" s="2"/>
      <c r="E13" s="2"/>
      <c r="F13" s="3" t="s">
        <v>12</v>
      </c>
      <c r="G13" s="19">
        <f>C10-(G7*G12^2)/2</f>
        <v>133045.93266799237</v>
      </c>
      <c r="H13" s="4">
        <f>H6+H10</f>
        <v>132578.11167309288</v>
      </c>
      <c r="I13" s="4">
        <f t="shared" ref="I13:P13" si="6">I6+I10</f>
        <v>131967.60012369309</v>
      </c>
      <c r="J13" s="4">
        <f t="shared" si="6"/>
        <v>131158.84554626144</v>
      </c>
      <c r="K13" s="4">
        <f t="shared" si="6"/>
        <v>130069.34966989965</v>
      </c>
      <c r="L13" s="4">
        <f t="shared" si="6"/>
        <v>128573.64401189108</v>
      </c>
      <c r="M13" s="4">
        <f t="shared" si="6"/>
        <v>126475.70529450517</v>
      </c>
      <c r="N13" s="4">
        <f t="shared" si="6"/>
        <v>123459.75794192305</v>
      </c>
      <c r="O13" s="4">
        <f t="shared" si="6"/>
        <v>118998.9061128976</v>
      </c>
      <c r="P13" s="4">
        <f t="shared" si="6"/>
        <v>112177.34017580733</v>
      </c>
      <c r="Q13" s="19">
        <f>Q6+Q10</f>
        <v>101325</v>
      </c>
    </row>
    <row r="14" spans="2:17">
      <c r="B14" s="20" t="s">
        <v>7</v>
      </c>
      <c r="C14" s="20">
        <v>2100</v>
      </c>
      <c r="D14" s="2">
        <v>2100</v>
      </c>
      <c r="E14" s="2"/>
      <c r="F14" s="3" t="s">
        <v>13</v>
      </c>
      <c r="G14" s="7">
        <v>1.1850000000000001</v>
      </c>
      <c r="H14" s="7">
        <v>1.1850000000000001</v>
      </c>
      <c r="I14" s="7">
        <v>1.1850000000000001</v>
      </c>
      <c r="J14" s="7">
        <v>1.1850000000000001</v>
      </c>
      <c r="K14" s="7">
        <v>1.1850000000000001</v>
      </c>
      <c r="L14" s="7">
        <v>1.1850000000000001</v>
      </c>
      <c r="M14" s="7">
        <v>1.1850000000000001</v>
      </c>
      <c r="N14" s="7">
        <v>1.1850000000000001</v>
      </c>
      <c r="O14" s="7">
        <v>1.1850000000000001</v>
      </c>
      <c r="P14" s="7">
        <v>1.1850000000000001</v>
      </c>
      <c r="Q14" s="7">
        <v>1.1850000000000001</v>
      </c>
    </row>
    <row r="15" spans="2:17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>
      <c r="B16" s="2"/>
      <c r="C16" s="2"/>
      <c r="D16" s="2"/>
      <c r="E16" s="2"/>
      <c r="F16" s="3" t="s">
        <v>16</v>
      </c>
      <c r="G16" s="3">
        <f>$C$11-(G12^2)/(2*$C$8)</f>
        <v>286.51822512506055</v>
      </c>
      <c r="H16" s="3">
        <f t="shared" ref="H16:Q16" si="7">$C$11-(H12^2)/(2*$C$8)</f>
        <v>286.14433115345969</v>
      </c>
      <c r="I16" s="3">
        <f t="shared" si="7"/>
        <v>285.65767597777449</v>
      </c>
      <c r="J16" s="3">
        <f t="shared" si="7"/>
        <v>285.0148753295864</v>
      </c>
      <c r="K16" s="3">
        <f t="shared" si="7"/>
        <v>284.15176097792221</v>
      </c>
      <c r="L16" s="3">
        <f t="shared" si="7"/>
        <v>282.97118121753704</v>
      </c>
      <c r="M16" s="3">
        <f t="shared" si="7"/>
        <v>281.32212120651519</v>
      </c>
      <c r="N16" s="3">
        <f t="shared" si="7"/>
        <v>278.96270459220716</v>
      </c>
      <c r="O16" s="3">
        <f t="shared" si="7"/>
        <v>275.49198509942158</v>
      </c>
      <c r="P16" s="3">
        <f t="shared" si="7"/>
        <v>270.21833213384309</v>
      </c>
      <c r="Q16" s="3">
        <f t="shared" si="7"/>
        <v>261.89160397048869</v>
      </c>
    </row>
    <row r="17" spans="2:22">
      <c r="B17" s="2"/>
      <c r="C17" s="2"/>
      <c r="D17" s="2"/>
      <c r="E17" s="2"/>
      <c r="F17" s="3" t="s">
        <v>17</v>
      </c>
      <c r="G17" s="3">
        <f>SQRT($C$6*$C$7*G16)</f>
        <v>339.28128645833743</v>
      </c>
      <c r="H17" s="3">
        <f t="shared" ref="H17:Q17" si="8">SQRT($C$6*$C$7*H16)</f>
        <v>339.05984044070874</v>
      </c>
      <c r="I17" s="3">
        <f t="shared" si="8"/>
        <v>338.77139257465564</v>
      </c>
      <c r="J17" s="3">
        <f t="shared" si="8"/>
        <v>338.39001806246426</v>
      </c>
      <c r="K17" s="3">
        <f t="shared" si="8"/>
        <v>337.87725406114396</v>
      </c>
      <c r="L17" s="3">
        <f t="shared" si="8"/>
        <v>337.17462559169934</v>
      </c>
      <c r="M17" s="3">
        <f t="shared" si="8"/>
        <v>336.19072038595368</v>
      </c>
      <c r="N17" s="3">
        <f t="shared" si="8"/>
        <v>334.7779553183405</v>
      </c>
      <c r="O17" s="3">
        <f t="shared" si="8"/>
        <v>332.68886414656515</v>
      </c>
      <c r="P17" s="3">
        <f t="shared" si="8"/>
        <v>329.48920057075998</v>
      </c>
      <c r="Q17" s="3">
        <f t="shared" si="8"/>
        <v>324.37290319085946</v>
      </c>
    </row>
    <row r="18" spans="2:22">
      <c r="B18" s="2"/>
      <c r="C18" s="2"/>
      <c r="D18" s="2"/>
      <c r="E18" s="2"/>
      <c r="F18" s="3" t="s">
        <v>18</v>
      </c>
      <c r="G18" s="3">
        <f>G12/G17</f>
        <v>0.16926442047163159</v>
      </c>
      <c r="H18" s="3">
        <f t="shared" ref="H18:Q18" si="9">H12/H17</f>
        <v>0.18767309695330142</v>
      </c>
      <c r="I18" s="3">
        <f t="shared" si="9"/>
        <v>0.20928293894265643</v>
      </c>
      <c r="J18" s="3">
        <f t="shared" si="9"/>
        <v>0.23489305225649693</v>
      </c>
      <c r="K18" s="3">
        <f t="shared" si="9"/>
        <v>0.26557465876826691</v>
      </c>
      <c r="L18" s="3">
        <f t="shared" si="9"/>
        <v>0.30279461692099718</v>
      </c>
      <c r="M18" s="3">
        <f t="shared" si="9"/>
        <v>0.34861314564893114</v>
      </c>
      <c r="N18" s="3">
        <f t="shared" si="9"/>
        <v>0.4060149242307709</v>
      </c>
      <c r="O18" s="3">
        <f t="shared" si="9"/>
        <v>0.47949579257211949</v>
      </c>
      <c r="P18" s="3">
        <f t="shared" si="9"/>
        <v>0.57618109425901365</v>
      </c>
      <c r="Q18" s="3">
        <f t="shared" si="9"/>
        <v>0.70817565353240319</v>
      </c>
    </row>
    <row r="19" spans="2:22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</row>
    <row r="20" spans="2:22">
      <c r="B20" s="2"/>
      <c r="C20" s="2"/>
      <c r="D20" s="2"/>
      <c r="E20" s="2"/>
      <c r="F20" s="24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</row>
    <row r="21" spans="2:22">
      <c r="B21" s="2"/>
      <c r="C21" s="2"/>
      <c r="D21" s="2"/>
      <c r="E21" s="2"/>
      <c r="F21" s="25"/>
      <c r="G21" s="25"/>
      <c r="H21" s="25"/>
      <c r="I21" s="25"/>
      <c r="J21" s="25"/>
      <c r="K21" s="25"/>
      <c r="L21" s="3"/>
      <c r="M21" s="3">
        <v>0</v>
      </c>
      <c r="N21" s="3">
        <v>2.5000000000000001E-2</v>
      </c>
      <c r="O21" s="3">
        <v>0.05</v>
      </c>
      <c r="P21" s="3">
        <v>7.4999999999999997E-2</v>
      </c>
      <c r="Q21" s="3">
        <v>0.1</v>
      </c>
    </row>
    <row r="22" spans="2:22">
      <c r="B22" s="2"/>
      <c r="C22" s="2"/>
      <c r="D22" s="2"/>
      <c r="E22" s="2"/>
      <c r="F22" s="24"/>
      <c r="G22" s="25"/>
      <c r="H22" s="25"/>
      <c r="I22" s="25"/>
      <c r="J22" s="25"/>
      <c r="K22" s="25"/>
      <c r="L22" s="22" t="s">
        <v>20</v>
      </c>
      <c r="M22" s="3">
        <v>46.31</v>
      </c>
      <c r="N22" s="3">
        <v>58.19</v>
      </c>
      <c r="O22" s="3">
        <v>80.48</v>
      </c>
      <c r="P22" s="3">
        <v>120.03</v>
      </c>
      <c r="Q22" s="3">
        <v>213.26</v>
      </c>
    </row>
    <row r="23" spans="2:22">
      <c r="B23" s="2"/>
      <c r="C23" s="2"/>
      <c r="D23" s="2"/>
      <c r="E23" s="2"/>
      <c r="F23" s="25"/>
      <c r="G23" s="25"/>
      <c r="H23" s="25"/>
      <c r="I23" s="25"/>
      <c r="J23" s="25"/>
      <c r="K23" s="25"/>
      <c r="L23" s="22" t="s">
        <v>21</v>
      </c>
      <c r="M23" s="3">
        <v>133165</v>
      </c>
      <c r="N23" s="3">
        <v>132230</v>
      </c>
      <c r="O23" s="3">
        <v>129765</v>
      </c>
      <c r="P23" s="3">
        <v>123565</v>
      </c>
      <c r="Q23" s="3">
        <v>101336</v>
      </c>
    </row>
    <row r="24" spans="2:22">
      <c r="L24" s="22" t="s">
        <v>22</v>
      </c>
      <c r="M24" s="3">
        <v>1.387</v>
      </c>
      <c r="N24" s="3"/>
      <c r="O24" s="3"/>
      <c r="P24" s="3"/>
      <c r="Q24" s="3"/>
    </row>
    <row r="26" spans="2:22">
      <c r="V26" s="1"/>
    </row>
    <row r="27" spans="2:22">
      <c r="V27" s="1"/>
    </row>
    <row r="28" spans="2:22">
      <c r="V28" s="1"/>
    </row>
    <row r="29" spans="2:22">
      <c r="V29" s="1"/>
    </row>
  </sheetData>
  <pageMargins left="0.7" right="0.7" top="0.75" bottom="0.75" header="0.3" footer="0.3"/>
  <pageSetup paperSize="9"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Q29"/>
  <sheetViews>
    <sheetView topLeftCell="A34" zoomScaleNormal="100" workbookViewId="0">
      <selection activeCell="H28" sqref="H28"/>
    </sheetView>
  </sheetViews>
  <sheetFormatPr defaultRowHeight="15"/>
  <cols>
    <col min="7" max="7" width="11.140625" bestFit="1" customWidth="1"/>
  </cols>
  <sheetData>
    <row r="1" spans="2:17">
      <c r="B1" s="2"/>
      <c r="C1" s="2"/>
      <c r="D1" s="2"/>
      <c r="E1" s="2"/>
      <c r="F1" s="3" t="s">
        <v>8</v>
      </c>
      <c r="G1" s="4">
        <v>1</v>
      </c>
      <c r="H1" s="4">
        <v>2</v>
      </c>
      <c r="I1" s="4">
        <v>3</v>
      </c>
      <c r="J1" s="4">
        <v>4</v>
      </c>
      <c r="K1" s="4">
        <v>5</v>
      </c>
      <c r="L1" s="4">
        <v>6</v>
      </c>
      <c r="M1" s="4">
        <v>7</v>
      </c>
      <c r="N1" s="4">
        <v>8</v>
      </c>
      <c r="O1" s="4">
        <v>9</v>
      </c>
      <c r="P1" s="4">
        <v>10</v>
      </c>
      <c r="Q1" s="4">
        <v>11</v>
      </c>
    </row>
    <row r="2" spans="2:17">
      <c r="B2" s="2"/>
      <c r="C2" s="2"/>
      <c r="D2" s="2"/>
      <c r="E2" s="2"/>
      <c r="F2" s="3" t="s">
        <v>9</v>
      </c>
      <c r="G2" s="5">
        <v>0</v>
      </c>
      <c r="H2" s="5">
        <f>G2+$C$4</f>
        <v>0.01</v>
      </c>
      <c r="I2" s="5">
        <f t="shared" ref="I2:Q2" si="0">H2+$C$4</f>
        <v>0.02</v>
      </c>
      <c r="J2" s="5">
        <f t="shared" si="0"/>
        <v>0.03</v>
      </c>
      <c r="K2" s="5">
        <f t="shared" si="0"/>
        <v>0.04</v>
      </c>
      <c r="L2" s="5">
        <f t="shared" si="0"/>
        <v>0.05</v>
      </c>
      <c r="M2" s="5">
        <f t="shared" si="0"/>
        <v>6.0000000000000005E-2</v>
      </c>
      <c r="N2" s="5">
        <f t="shared" si="0"/>
        <v>7.0000000000000007E-2</v>
      </c>
      <c r="O2" s="5">
        <f t="shared" si="0"/>
        <v>0.08</v>
      </c>
      <c r="P2" s="5">
        <f t="shared" si="0"/>
        <v>0.09</v>
      </c>
      <c r="Q2" s="5">
        <f t="shared" si="0"/>
        <v>9.9999999999999992E-2</v>
      </c>
    </row>
    <row r="3" spans="2:17">
      <c r="B3" s="3" t="s">
        <v>0</v>
      </c>
      <c r="C3" s="3">
        <v>0.1</v>
      </c>
      <c r="D3" s="2"/>
      <c r="E3" s="2"/>
      <c r="F3" s="3" t="s">
        <v>3</v>
      </c>
      <c r="G3" s="6">
        <v>0.08</v>
      </c>
      <c r="H3" s="7">
        <f>G3+($Q$3-$G$3)/10</f>
        <v>7.5999999999999998E-2</v>
      </c>
      <c r="I3" s="7">
        <f t="shared" ref="I3:P3" si="1">H3+($Q$3-$G$3)/10</f>
        <v>7.1999999999999995E-2</v>
      </c>
      <c r="J3" s="7">
        <f t="shared" si="1"/>
        <v>6.7999999999999991E-2</v>
      </c>
      <c r="K3" s="7">
        <f t="shared" si="1"/>
        <v>6.3999999999999987E-2</v>
      </c>
      <c r="L3" s="7">
        <f t="shared" si="1"/>
        <v>5.9999999999999984E-2</v>
      </c>
      <c r="M3" s="7">
        <f t="shared" si="1"/>
        <v>5.599999999999998E-2</v>
      </c>
      <c r="N3" s="7">
        <f t="shared" si="1"/>
        <v>5.1999999999999977E-2</v>
      </c>
      <c r="O3" s="7">
        <f t="shared" si="1"/>
        <v>4.7999999999999973E-2</v>
      </c>
      <c r="P3" s="7">
        <f t="shared" si="1"/>
        <v>4.399999999999997E-2</v>
      </c>
      <c r="Q3" s="6">
        <v>0.04</v>
      </c>
    </row>
    <row r="4" spans="2:17">
      <c r="B4" s="3" t="s">
        <v>1</v>
      </c>
      <c r="C4" s="3">
        <f>C3/10</f>
        <v>0.01</v>
      </c>
      <c r="D4" s="2"/>
      <c r="E4" s="2"/>
      <c r="F4" s="3" t="s">
        <v>10</v>
      </c>
      <c r="G4" s="8">
        <f>(PI()*(2*G3)^2)/4</f>
        <v>2.0106192982974676E-2</v>
      </c>
      <c r="H4" s="8">
        <f t="shared" ref="H4:Q4" si="2">(PI()*(2*H3)^2)/4</f>
        <v>1.8145839167134643E-2</v>
      </c>
      <c r="I4" s="8">
        <f t="shared" si="2"/>
        <v>1.6286016316209486E-2</v>
      </c>
      <c r="J4" s="8">
        <f t="shared" si="2"/>
        <v>1.4526724430199199E-2</v>
      </c>
      <c r="K4" s="8">
        <f t="shared" si="2"/>
        <v>1.2867963509103787E-2</v>
      </c>
      <c r="L4" s="8">
        <f t="shared" si="2"/>
        <v>1.1309733552923249E-2</v>
      </c>
      <c r="M4" s="8">
        <f t="shared" si="2"/>
        <v>9.8520345616575841E-3</v>
      </c>
      <c r="N4" s="8">
        <f t="shared" si="2"/>
        <v>8.4948665353067939E-3</v>
      </c>
      <c r="O4" s="8">
        <f t="shared" si="2"/>
        <v>7.2382294738708754E-3</v>
      </c>
      <c r="P4" s="8">
        <f t="shared" si="2"/>
        <v>6.0821233773498311E-3</v>
      </c>
      <c r="Q4" s="8">
        <f t="shared" si="2"/>
        <v>5.0265482457436689E-3</v>
      </c>
    </row>
    <row r="5" spans="2:17">
      <c r="B5" s="2"/>
      <c r="C5" s="2"/>
      <c r="D5" s="2"/>
      <c r="E5" s="2"/>
      <c r="F5" s="9" t="s">
        <v>11</v>
      </c>
      <c r="G5" s="10">
        <v>41.933062687226695</v>
      </c>
      <c r="H5" s="10">
        <v>46.551386940871602</v>
      </c>
      <c r="I5" s="10">
        <v>51.991442662699896</v>
      </c>
      <c r="J5" s="10">
        <v>58.486335177502596</v>
      </c>
      <c r="K5" s="10">
        <v>66.342073094497692</v>
      </c>
      <c r="L5" s="10">
        <v>75.99585506347006</v>
      </c>
      <c r="M5" s="10">
        <v>88.101272594774684</v>
      </c>
      <c r="N5" s="10">
        <v>103.70025337999361</v>
      </c>
      <c r="O5" s="10">
        <v>124.62615939424906</v>
      </c>
      <c r="P5" s="10">
        <v>154.71264266962615</v>
      </c>
      <c r="Q5" s="10">
        <v>205.86865898669578</v>
      </c>
    </row>
    <row r="6" spans="2:17">
      <c r="B6" s="11" t="s">
        <v>2</v>
      </c>
      <c r="C6" s="11">
        <v>1.4</v>
      </c>
      <c r="D6" s="2"/>
      <c r="E6" s="2"/>
      <c r="F6" s="9" t="s">
        <v>12</v>
      </c>
      <c r="G6" s="10">
        <v>133575.51445170629</v>
      </c>
      <c r="H6" s="10">
        <v>133227.85858173415</v>
      </c>
      <c r="I6" s="10">
        <v>132771.60956635035</v>
      </c>
      <c r="J6" s="10">
        <v>132160.88642409007</v>
      </c>
      <c r="K6" s="10">
        <v>131326.83841130373</v>
      </c>
      <c r="L6" s="10">
        <v>130160.38230722559</v>
      </c>
      <c r="M6" s="10">
        <v>128480.77690377602</v>
      </c>
      <c r="N6" s="10">
        <v>125969.8958123503</v>
      </c>
      <c r="O6" s="10">
        <v>122015.72675961358</v>
      </c>
      <c r="P6" s="10">
        <v>115248.62599135554</v>
      </c>
      <c r="Q6" s="10">
        <v>101325</v>
      </c>
    </row>
    <row r="7" spans="2:17">
      <c r="B7" s="11" t="s">
        <v>3</v>
      </c>
      <c r="C7" s="11">
        <v>286.97199999999998</v>
      </c>
      <c r="D7" s="2"/>
      <c r="E7" s="2"/>
      <c r="F7" s="9" t="s">
        <v>13</v>
      </c>
      <c r="G7" s="12">
        <v>1.6202233645323596</v>
      </c>
      <c r="H7" s="12">
        <v>1.6171515456613619</v>
      </c>
      <c r="I7" s="12">
        <v>1.6131130011710286</v>
      </c>
      <c r="J7" s="12">
        <v>1.6076952220733001</v>
      </c>
      <c r="K7" s="12">
        <v>1.600276374519144</v>
      </c>
      <c r="L7" s="12">
        <v>1.5898655462167672</v>
      </c>
      <c r="M7" s="12">
        <v>1.5748084631441936</v>
      </c>
      <c r="N7" s="12">
        <v>1.5521638367984489</v>
      </c>
      <c r="O7" s="12">
        <v>1.5161934251354421</v>
      </c>
      <c r="P7" s="12">
        <v>1.4537933179322224</v>
      </c>
      <c r="Q7" s="12">
        <v>1.3221024765583353</v>
      </c>
    </row>
    <row r="8" spans="2:17">
      <c r="B8" s="11" t="s">
        <v>4</v>
      </c>
      <c r="C8" s="11">
        <f>C7*(C6/(C6-1))</f>
        <v>1004.402</v>
      </c>
      <c r="D8" s="2"/>
      <c r="E8" s="2"/>
      <c r="F8" s="13"/>
      <c r="G8" s="14"/>
      <c r="H8" s="14"/>
      <c r="I8" s="14"/>
      <c r="J8" s="14"/>
      <c r="K8" s="14"/>
      <c r="L8" s="14"/>
      <c r="M8" s="14"/>
      <c r="N8" s="14"/>
      <c r="O8" s="14"/>
      <c r="P8" s="14"/>
      <c r="Q8" s="14"/>
    </row>
    <row r="9" spans="2:17">
      <c r="B9" s="2"/>
      <c r="C9" s="2"/>
      <c r="D9" s="2"/>
      <c r="E9" s="2"/>
      <c r="F9" s="3" t="s">
        <v>14</v>
      </c>
      <c r="G9" s="7">
        <f>G4*G7*G12</f>
        <v>1.3660305191040134</v>
      </c>
      <c r="H9" s="7">
        <f>H4*H7*H12</f>
        <v>1.3660276794910102</v>
      </c>
      <c r="I9" s="7">
        <f t="shared" ref="I9:Q9" si="3">I4*I7*I12</f>
        <v>1.3658771086896666</v>
      </c>
      <c r="J9" s="7">
        <f t="shared" si="3"/>
        <v>1.3659242672573835</v>
      </c>
      <c r="K9" s="7">
        <f t="shared" si="3"/>
        <v>1.3661394697588616</v>
      </c>
      <c r="L9" s="7">
        <f t="shared" si="3"/>
        <v>1.366482223242276</v>
      </c>
      <c r="M9" s="7">
        <f t="shared" si="3"/>
        <v>1.3669009817615767</v>
      </c>
      <c r="N9" s="7">
        <f t="shared" si="3"/>
        <v>1.3673348461226706</v>
      </c>
      <c r="O9" s="7">
        <f t="shared" si="3"/>
        <v>1.3677186458786699</v>
      </c>
      <c r="P9" s="7">
        <f t="shared" si="3"/>
        <v>1.3679932839141384</v>
      </c>
      <c r="Q9" s="7">
        <f t="shared" si="3"/>
        <v>1.368123315349423</v>
      </c>
    </row>
    <row r="10" spans="2:17">
      <c r="B10" s="15" t="s">
        <v>5</v>
      </c>
      <c r="C10" s="15">
        <v>135000</v>
      </c>
      <c r="D10" s="2"/>
      <c r="E10" s="2"/>
      <c r="F10" s="3" t="s">
        <v>15</v>
      </c>
      <c r="G10" s="16">
        <f>(G12)*(G9-H9)</f>
        <v>1.1907341824808284E-4</v>
      </c>
      <c r="H10" s="16">
        <f>(H12)*(H9-I9)</f>
        <v>7.00926506492158E-3</v>
      </c>
      <c r="I10" s="16">
        <f t="shared" ref="I10:P10" si="4">(I12)*(I9-J9)</f>
        <v>-2.4518425401874764E-3</v>
      </c>
      <c r="J10" s="16">
        <f t="shared" si="4"/>
        <v>-1.2586428610306932E-2</v>
      </c>
      <c r="K10" s="16">
        <f t="shared" si="4"/>
        <v>-2.273903875499254E-2</v>
      </c>
      <c r="L10" s="16">
        <f t="shared" si="4"/>
        <v>-3.1824007666735953E-2</v>
      </c>
      <c r="M10" s="16">
        <f t="shared" si="4"/>
        <v>-3.8224108576376328E-2</v>
      </c>
      <c r="N10" s="16">
        <f t="shared" si="4"/>
        <v>-3.980021841213343E-2</v>
      </c>
      <c r="O10" s="16">
        <f t="shared" si="4"/>
        <v>-3.4227130838203675E-2</v>
      </c>
      <c r="P10" s="16">
        <f t="shared" si="4"/>
        <v>-2.0117519340003359E-2</v>
      </c>
      <c r="Q10" s="17">
        <v>0</v>
      </c>
    </row>
    <row r="11" spans="2:17">
      <c r="B11" s="15" t="s">
        <v>6</v>
      </c>
      <c r="C11" s="15">
        <v>288.16000000000003</v>
      </c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</row>
    <row r="12" spans="2:17">
      <c r="B12" s="15" t="s">
        <v>12</v>
      </c>
      <c r="C12" s="15">
        <v>101325</v>
      </c>
      <c r="D12" s="2"/>
      <c r="E12" s="2"/>
      <c r="F12" s="3" t="s">
        <v>11</v>
      </c>
      <c r="G12" s="18">
        <f>(H4*H5*H7)/(G4*G7)</f>
        <v>41.932974005512754</v>
      </c>
      <c r="H12" s="5">
        <f>((G6-H6)/H7+G5*H5)^0.5</f>
        <v>46.551290172957685</v>
      </c>
      <c r="I12" s="5">
        <f t="shared" ref="I12:Q12" si="5">((H6-I6)/I7+H5*I5)^0.5</f>
        <v>51.991454764022336</v>
      </c>
      <c r="J12" s="5">
        <f t="shared" si="5"/>
        <v>58.486441950524409</v>
      </c>
      <c r="K12" s="5">
        <f t="shared" si="5"/>
        <v>66.342254288633356</v>
      </c>
      <c r="L12" s="5">
        <f t="shared" si="5"/>
        <v>75.9960841390822</v>
      </c>
      <c r="M12" s="5">
        <f t="shared" si="5"/>
        <v>88.101517441991973</v>
      </c>
      <c r="N12" s="5">
        <f t="shared" si="5"/>
        <v>103.70047867412852</v>
      </c>
      <c r="O12" s="5">
        <f t="shared" si="5"/>
        <v>124.62633145408277</v>
      </c>
      <c r="P12" s="5">
        <f t="shared" si="5"/>
        <v>154.71273770052707</v>
      </c>
      <c r="Q12" s="5">
        <f t="shared" si="5"/>
        <v>205.86867532760903</v>
      </c>
    </row>
    <row r="13" spans="2:17">
      <c r="B13" s="2"/>
      <c r="C13" s="2"/>
      <c r="D13" s="2"/>
      <c r="E13" s="2"/>
      <c r="F13" s="3" t="s">
        <v>12</v>
      </c>
      <c r="G13" s="19">
        <f>C10-(G7*G12^2)/2</f>
        <v>133575.5204305253</v>
      </c>
      <c r="H13" s="4">
        <f>H6+H10</f>
        <v>133227.86559099922</v>
      </c>
      <c r="I13" s="4">
        <f t="shared" ref="I13:P13" si="6">I6+I10</f>
        <v>132771.60711450782</v>
      </c>
      <c r="J13" s="4">
        <f t="shared" si="6"/>
        <v>132160.87383766146</v>
      </c>
      <c r="K13" s="4">
        <f t="shared" si="6"/>
        <v>131326.81567226499</v>
      </c>
      <c r="L13" s="4">
        <f t="shared" si="6"/>
        <v>130160.35048321792</v>
      </c>
      <c r="M13" s="4">
        <f t="shared" si="6"/>
        <v>128480.73867966744</v>
      </c>
      <c r="N13" s="4">
        <f t="shared" si="6"/>
        <v>125969.85601213189</v>
      </c>
      <c r="O13" s="4">
        <f t="shared" si="6"/>
        <v>122015.69253248275</v>
      </c>
      <c r="P13" s="4">
        <f t="shared" si="6"/>
        <v>115248.6058738362</v>
      </c>
      <c r="Q13" s="19">
        <f>Q6+Q10</f>
        <v>101325</v>
      </c>
    </row>
    <row r="14" spans="2:17">
      <c r="B14" s="20" t="s">
        <v>7</v>
      </c>
      <c r="C14" s="20">
        <v>2100</v>
      </c>
      <c r="D14" s="2">
        <v>2100</v>
      </c>
      <c r="E14" s="2"/>
      <c r="F14" s="3" t="s">
        <v>13</v>
      </c>
      <c r="G14" s="7">
        <f>G13/($C$7*G16)</f>
        <v>1.6202234161726006</v>
      </c>
      <c r="H14" s="7">
        <f t="shared" ref="H14:Q14" si="7">H13/($C$7*H16)</f>
        <v>1.6171516054775055</v>
      </c>
      <c r="I14" s="7">
        <f t="shared" si="7"/>
        <v>1.6131129749053561</v>
      </c>
      <c r="J14" s="7">
        <f t="shared" si="7"/>
        <v>1.6076951038575533</v>
      </c>
      <c r="K14" s="7">
        <f t="shared" si="7"/>
        <v>1.6002761644071399</v>
      </c>
      <c r="L14" s="7">
        <f t="shared" si="7"/>
        <v>1.589865254089625</v>
      </c>
      <c r="M14" s="7">
        <f t="shared" si="7"/>
        <v>1.5748081135926431</v>
      </c>
      <c r="N14" s="7">
        <f t="shared" si="7"/>
        <v>1.5521634740564856</v>
      </c>
      <c r="O14" s="7">
        <f t="shared" si="7"/>
        <v>1.5161931152506469</v>
      </c>
      <c r="P14" s="7">
        <f t="shared" si="7"/>
        <v>1.4537931411973446</v>
      </c>
      <c r="Q14" s="7">
        <f t="shared" si="7"/>
        <v>1.3221024931393905</v>
      </c>
    </row>
    <row r="15" spans="2:17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</row>
    <row r="16" spans="2:17">
      <c r="B16" s="2"/>
      <c r="C16" s="2"/>
      <c r="D16" s="2"/>
      <c r="E16" s="2"/>
      <c r="F16" s="3" t="s">
        <v>16</v>
      </c>
      <c r="G16" s="3">
        <f>$C$11-(G12^2)/(2*$C$8)</f>
        <v>287.28466606550614</v>
      </c>
      <c r="H16" s="3">
        <f t="shared" ref="H16:Q16" si="8">$C$11-(H12^2)/(2*$C$8)</f>
        <v>287.0812374045617</v>
      </c>
      <c r="I16" s="3">
        <f t="shared" si="8"/>
        <v>286.81436778875423</v>
      </c>
      <c r="J16" s="3">
        <f t="shared" si="8"/>
        <v>286.45716393832748</v>
      </c>
      <c r="K16" s="3">
        <f t="shared" si="8"/>
        <v>285.96899744121492</v>
      </c>
      <c r="L16" s="3">
        <f t="shared" si="8"/>
        <v>285.28495355222589</v>
      </c>
      <c r="M16" s="3">
        <f t="shared" si="8"/>
        <v>284.29607033061387</v>
      </c>
      <c r="N16" s="3">
        <f t="shared" si="8"/>
        <v>282.80667071688259</v>
      </c>
      <c r="O16" s="3">
        <f t="shared" si="8"/>
        <v>280.42817425109524</v>
      </c>
      <c r="P16" s="3">
        <f t="shared" si="8"/>
        <v>276.24443670622321</v>
      </c>
      <c r="Q16" s="3">
        <f t="shared" si="8"/>
        <v>267.06191801631996</v>
      </c>
    </row>
    <row r="17" spans="2:17">
      <c r="B17" s="2"/>
      <c r="C17" s="2"/>
      <c r="D17" s="2"/>
      <c r="E17" s="2"/>
      <c r="F17" s="3" t="s">
        <v>17</v>
      </c>
      <c r="G17" s="3">
        <f>SQRT($C$6*$C$7*G16)</f>
        <v>339.73477488507206</v>
      </c>
      <c r="H17" s="3">
        <f t="shared" ref="H17:Q17" si="9">SQRT($C$6*$C$7*H16)</f>
        <v>339.61446907434117</v>
      </c>
      <c r="I17" s="3">
        <f t="shared" si="9"/>
        <v>339.4565802194798</v>
      </c>
      <c r="J17" s="3">
        <f t="shared" si="9"/>
        <v>339.24513165201586</v>
      </c>
      <c r="K17" s="3">
        <f t="shared" si="9"/>
        <v>338.95594579116096</v>
      </c>
      <c r="L17" s="3">
        <f t="shared" si="9"/>
        <v>338.55030817753675</v>
      </c>
      <c r="M17" s="3">
        <f t="shared" si="9"/>
        <v>337.96304036519092</v>
      </c>
      <c r="N17" s="3">
        <f t="shared" si="9"/>
        <v>337.07660000740384</v>
      </c>
      <c r="O17" s="3">
        <f t="shared" si="9"/>
        <v>335.65614493058132</v>
      </c>
      <c r="P17" s="3">
        <f t="shared" si="9"/>
        <v>333.14289109425943</v>
      </c>
      <c r="Q17" s="3">
        <f t="shared" si="9"/>
        <v>327.55916997051253</v>
      </c>
    </row>
    <row r="18" spans="2:17">
      <c r="B18" s="2"/>
      <c r="C18" s="2"/>
      <c r="D18" s="2"/>
      <c r="E18" s="2"/>
      <c r="F18" s="3" t="s">
        <v>18</v>
      </c>
      <c r="G18" s="3">
        <f>G12/G17</f>
        <v>0.12342855988086043</v>
      </c>
      <c r="H18" s="3">
        <f t="shared" ref="H18:Q18" si="10">H12/H17</f>
        <v>0.1370709861091568</v>
      </c>
      <c r="I18" s="3">
        <f t="shared" si="10"/>
        <v>0.15316083939338171</v>
      </c>
      <c r="J18" s="3">
        <f t="shared" si="10"/>
        <v>0.17240171337378976</v>
      </c>
      <c r="K18" s="3">
        <f t="shared" si="10"/>
        <v>0.19572530033005658</v>
      </c>
      <c r="L18" s="3">
        <f t="shared" si="10"/>
        <v>0.22447501096123545</v>
      </c>
      <c r="M18" s="3">
        <f t="shared" si="10"/>
        <v>0.26068388231681366</v>
      </c>
      <c r="N18" s="3">
        <f t="shared" si="10"/>
        <v>0.30764662593562042</v>
      </c>
      <c r="O18" s="3">
        <f t="shared" si="10"/>
        <v>0.37129167255334278</v>
      </c>
      <c r="P18" s="3">
        <f t="shared" si="10"/>
        <v>0.46440353925112771</v>
      </c>
      <c r="Q18" s="3">
        <f t="shared" si="10"/>
        <v>0.62849309132802389</v>
      </c>
    </row>
    <row r="20" spans="2:17">
      <c r="F20" s="23" t="s">
        <v>24</v>
      </c>
      <c r="G20" s="21">
        <f>1-((($C$6-1)/($C$6+1))*G21^2)</f>
        <v>0.99704317040887958</v>
      </c>
      <c r="H20" s="21">
        <f t="shared" ref="H20:Q20" si="11">1-((($C$6-1)/($C$6+1))*H21^2)</f>
        <v>0.99637839758317281</v>
      </c>
      <c r="I20" s="21">
        <f t="shared" si="11"/>
        <v>0.99551860285901195</v>
      </c>
      <c r="J20" s="21">
        <f t="shared" si="11"/>
        <v>0.99438906990977871</v>
      </c>
      <c r="K20" s="21">
        <f t="shared" si="11"/>
        <v>0.99288356011647394</v>
      </c>
      <c r="L20" s="21">
        <f t="shared" si="11"/>
        <v>0.99084483379037269</v>
      </c>
      <c r="M20" s="21">
        <f t="shared" si="11"/>
        <v>0.98803497521814232</v>
      </c>
      <c r="N20" s="21">
        <f t="shared" si="11"/>
        <v>0.98408357654961653</v>
      </c>
      <c r="O20" s="21">
        <f t="shared" si="11"/>
        <v>0.97838741336623325</v>
      </c>
      <c r="P20" s="21">
        <f t="shared" si="11"/>
        <v>0.96986453921339644</v>
      </c>
      <c r="Q20" s="21">
        <f t="shared" si="11"/>
        <v>0.95586569920833631</v>
      </c>
    </row>
    <row r="21" spans="2:17">
      <c r="F21" s="21" t="s">
        <v>19</v>
      </c>
      <c r="G21" s="21">
        <f>SQRT(((($C$6+1)/2)*G18^2)/(1+2*G18^2))</f>
        <v>0.13319526097696704</v>
      </c>
      <c r="H21" s="21">
        <f t="shared" ref="H21:Q21" si="12">SQRT(((($C$6+1)/2)*H18^2)/(1+2*H18^2))</f>
        <v>0.14740968252107234</v>
      </c>
      <c r="I21" s="21">
        <f t="shared" si="12"/>
        <v>0.1639767753248246</v>
      </c>
      <c r="J21" s="21">
        <f t="shared" si="12"/>
        <v>0.18348182618812126</v>
      </c>
      <c r="K21" s="21">
        <f t="shared" si="12"/>
        <v>0.20663649072987139</v>
      </c>
      <c r="L21" s="21">
        <f t="shared" si="12"/>
        <v>0.23437362747921023</v>
      </c>
      <c r="M21" s="21">
        <f t="shared" si="12"/>
        <v>0.26793683712984739</v>
      </c>
      <c r="N21" s="21">
        <f t="shared" si="12"/>
        <v>0.30902838170999891</v>
      </c>
      <c r="O21" s="21">
        <f t="shared" si="12"/>
        <v>0.36010487333914359</v>
      </c>
      <c r="P21" s="21">
        <f t="shared" si="12"/>
        <v>0.42522084229212187</v>
      </c>
      <c r="Q21" s="21">
        <f t="shared" si="12"/>
        <v>0.51459285338020622</v>
      </c>
    </row>
    <row r="22" spans="2:17">
      <c r="F22" s="23" t="s">
        <v>25</v>
      </c>
      <c r="G22" s="21">
        <f>(1-((($C$6-1)/($C$6+1))*G21^2))^($C$6/($C$6-1))</f>
        <v>0.98968928983310778</v>
      </c>
      <c r="H22" s="21">
        <f t="shared" ref="H22:Q22" si="13">(1-((($C$6-1)/($C$6+1))*H21^2))^($C$6/($C$6-1))</f>
        <v>0.98738167019761558</v>
      </c>
      <c r="I22" s="21">
        <f t="shared" si="13"/>
        <v>0.98440277601934423</v>
      </c>
      <c r="J22" s="21">
        <f t="shared" si="13"/>
        <v>0.9804990946386779</v>
      </c>
      <c r="K22" s="21">
        <f t="shared" si="13"/>
        <v>0.97531323898817635</v>
      </c>
      <c r="L22" s="21">
        <f t="shared" si="13"/>
        <v>0.9683219412647418</v>
      </c>
      <c r="M22" s="21">
        <f t="shared" si="13"/>
        <v>0.95874500478363478</v>
      </c>
      <c r="N22" s="21">
        <f t="shared" si="13"/>
        <v>0.94539204501925456</v>
      </c>
      <c r="O22" s="21">
        <f t="shared" si="13"/>
        <v>0.92637750261837692</v>
      </c>
      <c r="P22" s="21">
        <f t="shared" si="13"/>
        <v>0.898439385996332</v>
      </c>
      <c r="Q22" s="21">
        <f t="shared" si="13"/>
        <v>0.85386472250979828</v>
      </c>
    </row>
    <row r="23" spans="2:17">
      <c r="F23" s="21" t="s">
        <v>5</v>
      </c>
      <c r="G23" s="21">
        <f>G14/G22</f>
        <v>1.6371031118724346</v>
      </c>
      <c r="H23" s="21">
        <f t="shared" ref="H23:P23" si="14">H14/H22</f>
        <v>1.6378181348594887</v>
      </c>
      <c r="I23" s="21">
        <f t="shared" si="14"/>
        <v>1.6386717045113832</v>
      </c>
      <c r="J23" s="21">
        <f t="shared" si="14"/>
        <v>1.6396701564013196</v>
      </c>
      <c r="K23" s="21">
        <f t="shared" si="14"/>
        <v>1.6407817513759186</v>
      </c>
      <c r="L23" s="21">
        <f t="shared" si="14"/>
        <v>1.6418767213031182</v>
      </c>
      <c r="M23" s="21">
        <f t="shared" si="14"/>
        <v>1.6425724313922643</v>
      </c>
      <c r="N23" s="21">
        <f t="shared" si="14"/>
        <v>1.6418199013139285</v>
      </c>
      <c r="O23" s="21">
        <f t="shared" si="14"/>
        <v>1.6366903459606637</v>
      </c>
      <c r="P23" s="21">
        <f t="shared" si="14"/>
        <v>1.6181315777748861</v>
      </c>
      <c r="Q23" s="21">
        <f>Q14/Q22</f>
        <v>1.5483746526654509</v>
      </c>
    </row>
    <row r="26" spans="2:17">
      <c r="K26" s="3"/>
      <c r="L26" s="3">
        <v>0</v>
      </c>
      <c r="M26" s="3">
        <v>2.5000000000000001E-2</v>
      </c>
      <c r="N26" s="3">
        <v>0.05</v>
      </c>
      <c r="O26" s="3">
        <v>7.4999999999999997E-2</v>
      </c>
      <c r="P26" s="3">
        <v>0.1</v>
      </c>
      <c r="Q26" s="3"/>
    </row>
    <row r="27" spans="2:17">
      <c r="K27" s="22" t="s">
        <v>20</v>
      </c>
      <c r="L27" s="3">
        <v>46.31</v>
      </c>
      <c r="M27" s="3">
        <v>58.19</v>
      </c>
      <c r="N27" s="3">
        <v>80.48</v>
      </c>
      <c r="O27" s="3">
        <v>120.03</v>
      </c>
      <c r="P27" s="3">
        <v>213.26</v>
      </c>
      <c r="Q27" s="3"/>
    </row>
    <row r="28" spans="2:17">
      <c r="K28" s="22" t="s">
        <v>21</v>
      </c>
      <c r="L28" s="3">
        <v>133165</v>
      </c>
      <c r="M28" s="3">
        <v>132230</v>
      </c>
      <c r="N28" s="3">
        <v>129765</v>
      </c>
      <c r="O28" s="3">
        <v>123565</v>
      </c>
      <c r="P28" s="3">
        <v>101336</v>
      </c>
      <c r="Q28" s="3"/>
    </row>
    <row r="29" spans="2:17">
      <c r="K29" s="22" t="s">
        <v>22</v>
      </c>
      <c r="L29" s="3">
        <v>1.387</v>
      </c>
      <c r="M29" s="3"/>
      <c r="N29" s="3"/>
      <c r="O29" s="3"/>
      <c r="P29" s="3"/>
      <c r="Q29" s="3"/>
    </row>
  </sheetData>
  <pageMargins left="0.7" right="0.7" top="0.75" bottom="0.75" header="0.3" footer="0.3"/>
  <pageSetup paperSize="9" orientation="portrait" verticalDpi="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ro_const</vt:lpstr>
      <vt:lpstr>ro_var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Metzler</dc:creator>
  <cp:lastModifiedBy>user</cp:lastModifiedBy>
  <dcterms:created xsi:type="dcterms:W3CDTF">2021-05-18T04:26:27Z</dcterms:created>
  <dcterms:modified xsi:type="dcterms:W3CDTF">2021-05-24T15:49:14Z</dcterms:modified>
</cp:coreProperties>
</file>