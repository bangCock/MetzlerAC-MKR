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style1.xml" ContentType="application/vnd.ms-office.chartstyle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1.xml" ContentType="application/vnd.ms-office.chartcolorsty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/>
  <bookViews>
    <workbookView xWindow="-28905" yWindow="-105" windowWidth="29010" windowHeight="15690"/>
  </bookViews>
  <sheets>
    <sheet name="Лист1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/>
  <c r="AA23"/>
  <c r="AB23"/>
  <c r="AC23"/>
  <c r="AD23"/>
  <c r="AE23"/>
  <c r="AF23"/>
  <c r="AG23"/>
  <c r="AH23"/>
  <c r="AI23"/>
  <c r="AJ23"/>
  <c r="AK23"/>
  <c r="AL23"/>
  <c r="AM23"/>
  <c r="AN23"/>
  <c r="Z23"/>
  <c r="AN22"/>
  <c r="Z22"/>
  <c r="AA21"/>
  <c r="AB21"/>
  <c r="AC21"/>
  <c r="AD21"/>
  <c r="AE21"/>
  <c r="AF21"/>
  <c r="AG21"/>
  <c r="AH21"/>
  <c r="AI21"/>
  <c r="AJ21"/>
  <c r="AK21"/>
  <c r="AL21"/>
  <c r="AM21"/>
  <c r="AN21"/>
  <c r="Z21"/>
  <c r="AA20"/>
  <c r="AB20"/>
  <c r="AC20"/>
  <c r="AD20"/>
  <c r="AE20"/>
  <c r="AF20"/>
  <c r="AG20"/>
  <c r="AH20"/>
  <c r="AI20"/>
  <c r="AJ20"/>
  <c r="AK20"/>
  <c r="AL20"/>
  <c r="AM20"/>
  <c r="AN20"/>
  <c r="Z20"/>
  <c r="AA19"/>
  <c r="AB19"/>
  <c r="AC19"/>
  <c r="AD19"/>
  <c r="AE19"/>
  <c r="AF19"/>
  <c r="AG19"/>
  <c r="AH19"/>
  <c r="AI19"/>
  <c r="AJ19"/>
  <c r="AK19"/>
  <c r="AL19"/>
  <c r="AM19"/>
  <c r="AN19"/>
  <c r="Z19"/>
  <c r="Z26"/>
  <c r="AN24"/>
  <c r="Z24"/>
  <c r="Z13"/>
  <c r="Z12"/>
  <c r="AN11"/>
  <c r="Z11"/>
  <c r="AJ10"/>
  <c r="AK10"/>
  <c r="AL10"/>
  <c r="AM10"/>
  <c r="AN10"/>
  <c r="AI10"/>
  <c r="AA10"/>
  <c r="AB10"/>
  <c r="AC10"/>
  <c r="Z10"/>
  <c r="AN9"/>
  <c r="Z9"/>
  <c r="AJ8"/>
  <c r="AK8"/>
  <c r="AL8"/>
  <c r="AM8"/>
  <c r="AN8"/>
  <c r="AI8"/>
  <c r="AH8"/>
  <c r="AG8"/>
  <c r="AF8"/>
  <c r="AA8"/>
  <c r="AB8"/>
  <c r="AC8"/>
  <c r="AD8"/>
  <c r="Z8"/>
  <c r="AE8"/>
  <c r="AA7"/>
  <c r="AB7"/>
  <c r="AC7"/>
  <c r="AD7"/>
  <c r="AE7"/>
  <c r="AF7"/>
  <c r="AG7"/>
  <c r="AH7"/>
  <c r="AI7"/>
  <c r="AJ7"/>
  <c r="AK7"/>
  <c r="AL7"/>
  <c r="AM7"/>
  <c r="AN7"/>
  <c r="Z7"/>
  <c r="AJ6"/>
  <c r="AK6"/>
  <c r="AL6"/>
  <c r="AM6"/>
  <c r="AN6"/>
  <c r="AI6"/>
  <c r="AH6"/>
  <c r="AG6"/>
  <c r="AF6"/>
  <c r="AE6"/>
  <c r="AA6"/>
  <c r="AB6"/>
  <c r="AC6"/>
  <c r="AD6"/>
  <c r="Z6"/>
  <c r="V71"/>
  <c r="H66"/>
  <c r="V61"/>
  <c r="H61"/>
  <c r="J72"/>
  <c r="K72" s="1"/>
  <c r="L72" s="1"/>
  <c r="M72" s="1"/>
  <c r="N72" s="1"/>
  <c r="O72" s="1"/>
  <c r="P72" s="1"/>
  <c r="Q72" s="1"/>
  <c r="R72" s="1"/>
  <c r="S72" s="1"/>
  <c r="T72" s="1"/>
  <c r="U72" s="1"/>
  <c r="V72" s="1"/>
  <c r="I72"/>
  <c r="G70"/>
  <c r="G69" s="1"/>
  <c r="G68" s="1"/>
  <c r="G67" s="1"/>
  <c r="G66" s="1"/>
  <c r="G65" s="1"/>
  <c r="G64" s="1"/>
  <c r="G63" s="1"/>
  <c r="G62" s="1"/>
  <c r="G61" s="1"/>
  <c r="R57"/>
  <c r="S57"/>
  <c r="T57"/>
  <c r="U57"/>
  <c r="Q57"/>
  <c r="V57"/>
  <c r="I52"/>
  <c r="J52"/>
  <c r="K52"/>
  <c r="H52"/>
  <c r="V47"/>
  <c r="U47"/>
  <c r="J47"/>
  <c r="K47"/>
  <c r="L47"/>
  <c r="M47"/>
  <c r="N47"/>
  <c r="O47"/>
  <c r="P47"/>
  <c r="Q47"/>
  <c r="R47"/>
  <c r="S47"/>
  <c r="T47"/>
  <c r="I47"/>
  <c r="H33"/>
  <c r="H47"/>
  <c r="I58"/>
  <c r="J58" s="1"/>
  <c r="K58" s="1"/>
  <c r="L58" s="1"/>
  <c r="M58" s="1"/>
  <c r="N58" s="1"/>
  <c r="O58" s="1"/>
  <c r="P58" s="1"/>
  <c r="Q58" s="1"/>
  <c r="R58" s="1"/>
  <c r="S58" s="1"/>
  <c r="T58" s="1"/>
  <c r="U58" s="1"/>
  <c r="V58" s="1"/>
  <c r="G56"/>
  <c r="G55" s="1"/>
  <c r="G54" s="1"/>
  <c r="G53" s="1"/>
  <c r="G52" s="1"/>
  <c r="G51" s="1"/>
  <c r="G50" s="1"/>
  <c r="G49" s="1"/>
  <c r="G48" s="1"/>
  <c r="G47" s="1"/>
  <c r="J44"/>
  <c r="K44" s="1"/>
  <c r="L44" s="1"/>
  <c r="M44" s="1"/>
  <c r="N44" s="1"/>
  <c r="O44" s="1"/>
  <c r="P44" s="1"/>
  <c r="Q44" s="1"/>
  <c r="R44" s="1"/>
  <c r="S44" s="1"/>
  <c r="T44" s="1"/>
  <c r="U44" s="1"/>
  <c r="V44" s="1"/>
  <c r="I44"/>
  <c r="I30"/>
  <c r="J30" s="1"/>
  <c r="K30" s="1"/>
  <c r="L30" s="1"/>
  <c r="M30" s="1"/>
  <c r="N30" s="1"/>
  <c r="O30" s="1"/>
  <c r="P30" s="1"/>
  <c r="Q30" s="1"/>
  <c r="R30" s="1"/>
  <c r="S30" s="1"/>
  <c r="T30" s="1"/>
  <c r="U30" s="1"/>
  <c r="V30" s="1"/>
  <c r="J16"/>
  <c r="K16"/>
  <c r="L16"/>
  <c r="M16"/>
  <c r="N16" s="1"/>
  <c r="O16" s="1"/>
  <c r="P16" s="1"/>
  <c r="Q16" s="1"/>
  <c r="R16" s="1"/>
  <c r="S16" s="1"/>
  <c r="T16" s="1"/>
  <c r="U16" s="1"/>
  <c r="V16" s="1"/>
  <c r="I16"/>
  <c r="V43"/>
  <c r="V35"/>
  <c r="V36"/>
  <c r="V37"/>
  <c r="V38"/>
  <c r="V39"/>
  <c r="V40"/>
  <c r="V41"/>
  <c r="V42"/>
  <c r="V34"/>
  <c r="V33"/>
  <c r="H38"/>
  <c r="H35"/>
  <c r="H36"/>
  <c r="H37"/>
  <c r="H34"/>
  <c r="G42"/>
  <c r="G41"/>
  <c r="G40" s="1"/>
  <c r="G39" s="1"/>
  <c r="G38" s="1"/>
  <c r="G37" s="1"/>
  <c r="G36" s="1"/>
  <c r="G35" s="1"/>
  <c r="G34" s="1"/>
  <c r="G33" s="1"/>
  <c r="U14"/>
  <c r="V56" s="1"/>
  <c r="V70" s="1"/>
  <c r="T13"/>
  <c r="T42" s="1"/>
  <c r="Q14"/>
  <c r="Q43" s="1"/>
  <c r="R14"/>
  <c r="Q56" s="1"/>
  <c r="T12"/>
  <c r="S13"/>
  <c r="S42" s="1"/>
  <c r="P12"/>
  <c r="O54" s="1"/>
  <c r="Q11"/>
  <c r="Q12"/>
  <c r="T11"/>
  <c r="U53" s="1"/>
  <c r="R11"/>
  <c r="P11"/>
  <c r="N11"/>
  <c r="M53" s="1"/>
  <c r="AE10" s="1"/>
  <c r="T10"/>
  <c r="U52" s="1"/>
  <c r="Q8"/>
  <c r="P10"/>
  <c r="M8"/>
  <c r="M9"/>
  <c r="M38" s="1"/>
  <c r="I9"/>
  <c r="T9"/>
  <c r="U51" s="1"/>
  <c r="S7"/>
  <c r="P9"/>
  <c r="O7"/>
  <c r="L9"/>
  <c r="K7"/>
  <c r="K34" s="1"/>
  <c r="AC22" s="1"/>
  <c r="R8"/>
  <c r="N8"/>
  <c r="J8"/>
  <c r="I50" s="1"/>
  <c r="R7"/>
  <c r="R34" s="1"/>
  <c r="AJ22" s="1"/>
  <c r="N7"/>
  <c r="J7"/>
  <c r="T14"/>
  <c r="T43" s="1"/>
  <c r="P13"/>
  <c r="P42" s="1"/>
  <c r="R13"/>
  <c r="S55" s="1"/>
  <c r="O12"/>
  <c r="N54" s="1"/>
  <c r="AF10" s="1"/>
  <c r="S12"/>
  <c r="O11"/>
  <c r="O40" s="1"/>
  <c r="S11"/>
  <c r="N10"/>
  <c r="R10"/>
  <c r="L7"/>
  <c r="L34" s="1"/>
  <c r="M7"/>
  <c r="P7"/>
  <c r="P34" s="1"/>
  <c r="AH22" s="1"/>
  <c r="Q7"/>
  <c r="T7"/>
  <c r="T34" s="1"/>
  <c r="AL22" s="1"/>
  <c r="K8"/>
  <c r="K37" s="1"/>
  <c r="L8"/>
  <c r="O8"/>
  <c r="P8"/>
  <c r="S8"/>
  <c r="T8"/>
  <c r="J9"/>
  <c r="K9"/>
  <c r="O9"/>
  <c r="S9"/>
  <c r="B6"/>
  <c r="V14"/>
  <c r="V13" s="1"/>
  <c r="V12" s="1"/>
  <c r="V11" s="1"/>
  <c r="V10" s="1"/>
  <c r="V9" s="1"/>
  <c r="V8" s="1"/>
  <c r="V7" s="1"/>
  <c r="V6" s="1"/>
  <c r="J5"/>
  <c r="K5"/>
  <c r="L5"/>
  <c r="M5"/>
  <c r="N5" s="1"/>
  <c r="O5" s="1"/>
  <c r="P5" s="1"/>
  <c r="Q5" s="1"/>
  <c r="R5" s="1"/>
  <c r="S5" s="1"/>
  <c r="T5" s="1"/>
  <c r="U5" s="1"/>
  <c r="V5" s="1"/>
  <c r="I5"/>
  <c r="H5"/>
  <c r="H8"/>
  <c r="H7" s="1"/>
  <c r="H6" s="1"/>
  <c r="H9"/>
  <c r="G28"/>
  <c r="G27"/>
  <c r="G26" s="1"/>
  <c r="G25" s="1"/>
  <c r="G24" s="1"/>
  <c r="G23" s="1"/>
  <c r="G22" s="1"/>
  <c r="G21" s="1"/>
  <c r="G20" s="1"/>
  <c r="G19" s="1"/>
  <c r="G12"/>
  <c r="G11" s="1"/>
  <c r="G10" s="1"/>
  <c r="G9" s="1"/>
  <c r="G8" s="1"/>
  <c r="G7" s="1"/>
  <c r="G6" s="1"/>
  <c r="G5" s="1"/>
  <c r="G13"/>
  <c r="G14"/>
  <c r="S40" l="1"/>
  <c r="Q50"/>
  <c r="S49"/>
  <c r="U49"/>
  <c r="J51"/>
  <c r="R49"/>
  <c r="S52"/>
  <c r="R53"/>
  <c r="L50"/>
  <c r="T37"/>
  <c r="P38"/>
  <c r="O68"/>
  <c r="N51"/>
  <c r="O55"/>
  <c r="AG10" s="1"/>
  <c r="O50"/>
  <c r="S53"/>
  <c r="P37"/>
  <c r="K51"/>
  <c r="K65" s="1"/>
  <c r="U43"/>
  <c r="AM9" s="1"/>
  <c r="AM11" s="1"/>
  <c r="L51"/>
  <c r="T41"/>
  <c r="L36"/>
  <c r="K38"/>
  <c r="K66" s="1"/>
  <c r="U54"/>
  <c r="U55"/>
  <c r="K50"/>
  <c r="O52"/>
  <c r="J36"/>
  <c r="P49"/>
  <c r="R50"/>
  <c r="P53"/>
  <c r="U50"/>
  <c r="P50"/>
  <c r="Q52"/>
  <c r="P36"/>
  <c r="P54"/>
  <c r="K36"/>
  <c r="R54"/>
  <c r="J37"/>
  <c r="N53"/>
  <c r="N49"/>
  <c r="R37"/>
  <c r="T39"/>
  <c r="Q49"/>
  <c r="Q53"/>
  <c r="Q41"/>
  <c r="O41"/>
  <c r="H51"/>
  <c r="H65" s="1"/>
  <c r="O53"/>
  <c r="O38"/>
  <c r="N40"/>
  <c r="AF9" s="1"/>
  <c r="AF11" s="1"/>
  <c r="O49"/>
  <c r="I38"/>
  <c r="AA9" s="1"/>
  <c r="AA11" s="1"/>
  <c r="AA12" s="1"/>
  <c r="AA13" s="1"/>
  <c r="S50"/>
  <c r="P56"/>
  <c r="AH10" s="1"/>
  <c r="AI9"/>
  <c r="AI11" s="1"/>
  <c r="Q71"/>
  <c r="T71"/>
  <c r="AL9"/>
  <c r="AL11" s="1"/>
  <c r="AD22"/>
  <c r="AD24" s="1"/>
  <c r="AH9"/>
  <c r="AH24"/>
  <c r="Q34"/>
  <c r="L37"/>
  <c r="R42"/>
  <c r="R40"/>
  <c r="P39"/>
  <c r="N39"/>
  <c r="M34"/>
  <c r="R43"/>
  <c r="M50"/>
  <c r="U56"/>
  <c r="O34"/>
  <c r="M52"/>
  <c r="M66" s="1"/>
  <c r="N37"/>
  <c r="I49"/>
  <c r="S38"/>
  <c r="P40"/>
  <c r="O36"/>
  <c r="I51"/>
  <c r="N50"/>
  <c r="K49"/>
  <c r="S34"/>
  <c r="J34"/>
  <c r="S36"/>
  <c r="T40"/>
  <c r="T38"/>
  <c r="P41"/>
  <c r="M36"/>
  <c r="J38"/>
  <c r="L49"/>
  <c r="S56"/>
  <c r="S70" s="1"/>
  <c r="AC24"/>
  <c r="T36"/>
  <c r="M49"/>
  <c r="Q55"/>
  <c r="L38"/>
  <c r="N34"/>
  <c r="AL24"/>
  <c r="AJ24"/>
  <c r="U11"/>
  <c r="U12"/>
  <c r="T54" s="1"/>
  <c r="R9"/>
  <c r="N9"/>
  <c r="M51" s="1"/>
  <c r="Q10"/>
  <c r="M10"/>
  <c r="R12"/>
  <c r="R39" s="1"/>
  <c r="U13"/>
  <c r="Q13"/>
  <c r="Q40" s="1"/>
  <c r="S14"/>
  <c r="S41" s="1"/>
  <c r="S69" s="1"/>
  <c r="Q9"/>
  <c r="S10"/>
  <c r="S37" s="1"/>
  <c r="O10"/>
  <c r="O37" s="1"/>
  <c r="N68" l="1"/>
  <c r="L65"/>
  <c r="AC9"/>
  <c r="AC11" s="1"/>
  <c r="O64"/>
  <c r="P70"/>
  <c r="AH11"/>
  <c r="P68"/>
  <c r="P64"/>
  <c r="L64"/>
  <c r="J65"/>
  <c r="K64"/>
  <c r="N65"/>
  <c r="R67"/>
  <c r="I66"/>
  <c r="S64"/>
  <c r="S66"/>
  <c r="U71"/>
  <c r="R68"/>
  <c r="O69"/>
  <c r="P67"/>
  <c r="AG9"/>
  <c r="AG11" s="1"/>
  <c r="N67"/>
  <c r="O66"/>
  <c r="M64"/>
  <c r="Q69"/>
  <c r="N52"/>
  <c r="L52"/>
  <c r="AD10" s="1"/>
  <c r="M37"/>
  <c r="M65" s="1"/>
  <c r="M39"/>
  <c r="AD9"/>
  <c r="Q38"/>
  <c r="Q66" s="1"/>
  <c r="R51"/>
  <c r="R65" s="1"/>
  <c r="S51"/>
  <c r="S65" s="1"/>
  <c r="Q51"/>
  <c r="R36"/>
  <c r="R64" s="1"/>
  <c r="R38"/>
  <c r="AB22"/>
  <c r="AB24" s="1"/>
  <c r="S39"/>
  <c r="S67" s="1"/>
  <c r="O51"/>
  <c r="O65" s="1"/>
  <c r="N38"/>
  <c r="N36"/>
  <c r="N64" s="1"/>
  <c r="P52"/>
  <c r="P66" s="1"/>
  <c r="O39"/>
  <c r="O67" s="1"/>
  <c r="Q39"/>
  <c r="Q67" s="1"/>
  <c r="R52"/>
  <c r="AG22"/>
  <c r="AG24" s="1"/>
  <c r="Q54"/>
  <c r="Q68" s="1"/>
  <c r="T68"/>
  <c r="R41"/>
  <c r="S54"/>
  <c r="S68" s="1"/>
  <c r="AF22"/>
  <c r="AF24" s="1"/>
  <c r="AE22"/>
  <c r="AE24" s="1"/>
  <c r="U42"/>
  <c r="U70" s="1"/>
  <c r="V55"/>
  <c r="V69" s="1"/>
  <c r="AJ9"/>
  <c r="AJ11" s="1"/>
  <c r="R71"/>
  <c r="AI22"/>
  <c r="AI24" s="1"/>
  <c r="R55"/>
  <c r="Q42"/>
  <c r="Q70" s="1"/>
  <c r="P55"/>
  <c r="P69" s="1"/>
  <c r="U40"/>
  <c r="U68" s="1"/>
  <c r="V53"/>
  <c r="V67" s="1"/>
  <c r="T56"/>
  <c r="T70" s="1"/>
  <c r="R56"/>
  <c r="R70" s="1"/>
  <c r="S43"/>
  <c r="U41"/>
  <c r="U69" s="1"/>
  <c r="V54"/>
  <c r="V68" s="1"/>
  <c r="J66"/>
  <c r="AB9"/>
  <c r="AB11" s="1"/>
  <c r="AB12" s="1"/>
  <c r="AK22"/>
  <c r="AK24" s="1"/>
  <c r="P51"/>
  <c r="P65" s="1"/>
  <c r="T53"/>
  <c r="T67" s="1"/>
  <c r="Q37"/>
  <c r="Q36"/>
  <c r="Q64" s="1"/>
  <c r="T55"/>
  <c r="T69" s="1"/>
  <c r="U10"/>
  <c r="I7"/>
  <c r="I8"/>
  <c r="Q65" l="1"/>
  <c r="R69"/>
  <c r="AD11"/>
  <c r="V52"/>
  <c r="V66" s="1"/>
  <c r="U39"/>
  <c r="U67" s="1"/>
  <c r="AC12"/>
  <c r="AB13"/>
  <c r="I34"/>
  <c r="I36"/>
  <c r="I64" s="1"/>
  <c r="H49"/>
  <c r="H63" s="1"/>
  <c r="J49"/>
  <c r="J50"/>
  <c r="J64" s="1"/>
  <c r="I37"/>
  <c r="I65" s="1"/>
  <c r="H50"/>
  <c r="H64" s="1"/>
  <c r="AK9"/>
  <c r="AK11" s="1"/>
  <c r="S71"/>
  <c r="M67"/>
  <c r="AE9"/>
  <c r="AE11" s="1"/>
  <c r="T52"/>
  <c r="T66" s="1"/>
  <c r="N66"/>
  <c r="R66"/>
  <c r="L66"/>
  <c r="I6"/>
  <c r="U9"/>
  <c r="H48" l="1"/>
  <c r="H62" s="1"/>
  <c r="I33"/>
  <c r="I61" s="1"/>
  <c r="I35"/>
  <c r="I63" s="1"/>
  <c r="U38"/>
  <c r="U66" s="1"/>
  <c r="V51"/>
  <c r="V65" s="1"/>
  <c r="T51"/>
  <c r="T65" s="1"/>
  <c r="AD12"/>
  <c r="AC13"/>
  <c r="AA22"/>
  <c r="AA24" s="1"/>
  <c r="AA25" s="1"/>
  <c r="J6"/>
  <c r="U8"/>
  <c r="J33" l="1"/>
  <c r="J61" s="1"/>
  <c r="I48"/>
  <c r="I62" s="1"/>
  <c r="J35"/>
  <c r="J63" s="1"/>
  <c r="AE12"/>
  <c r="AD13"/>
  <c r="V50"/>
  <c r="V64" s="1"/>
  <c r="T50"/>
  <c r="T64" s="1"/>
  <c r="U37"/>
  <c r="U65" s="1"/>
  <c r="AB25"/>
  <c r="AA26"/>
  <c r="K6"/>
  <c r="U7"/>
  <c r="K33" l="1"/>
  <c r="K61" s="1"/>
  <c r="K35"/>
  <c r="K63" s="1"/>
  <c r="J48"/>
  <c r="J62" s="1"/>
  <c r="U36"/>
  <c r="U64" s="1"/>
  <c r="U34"/>
  <c r="V49"/>
  <c r="V63" s="1"/>
  <c r="T49"/>
  <c r="AC25"/>
  <c r="AB26"/>
  <c r="AE13"/>
  <c r="AF12"/>
  <c r="L6"/>
  <c r="AM22" l="1"/>
  <c r="AM24" s="1"/>
  <c r="L33"/>
  <c r="L61" s="1"/>
  <c r="L35"/>
  <c r="L63" s="1"/>
  <c r="K48"/>
  <c r="K62" s="1"/>
  <c r="AC26"/>
  <c r="AD25"/>
  <c r="AF13"/>
  <c r="AG12"/>
  <c r="M6"/>
  <c r="M33" l="1"/>
  <c r="M61" s="1"/>
  <c r="M35"/>
  <c r="M63" s="1"/>
  <c r="L48"/>
  <c r="L62" s="1"/>
  <c r="AD26"/>
  <c r="AE25"/>
  <c r="AH12"/>
  <c r="AG13"/>
  <c r="N6"/>
  <c r="AE26" l="1"/>
  <c r="AF25"/>
  <c r="AH13"/>
  <c r="AI12"/>
  <c r="N35"/>
  <c r="N63" s="1"/>
  <c r="N33"/>
  <c r="N61" s="1"/>
  <c r="M48"/>
  <c r="M62" s="1"/>
  <c r="O6"/>
  <c r="AG25" l="1"/>
  <c r="AF26"/>
  <c r="AJ12"/>
  <c r="AI13"/>
  <c r="O35"/>
  <c r="O63" s="1"/>
  <c r="O33"/>
  <c r="O61" s="1"/>
  <c r="N48"/>
  <c r="N62" s="1"/>
  <c r="P6"/>
  <c r="AG26" l="1"/>
  <c r="AH25"/>
  <c r="AJ13"/>
  <c r="AK12"/>
  <c r="P35"/>
  <c r="P63" s="1"/>
  <c r="P33"/>
  <c r="P61" s="1"/>
  <c r="O48"/>
  <c r="O62" s="1"/>
  <c r="Q6"/>
  <c r="AH26" l="1"/>
  <c r="AI25"/>
  <c r="AL12"/>
  <c r="AK13"/>
  <c r="Q33"/>
  <c r="Q61" s="1"/>
  <c r="Q35"/>
  <c r="Q63" s="1"/>
  <c r="P48"/>
  <c r="P62" s="1"/>
  <c r="R6"/>
  <c r="AJ25" l="1"/>
  <c r="AI26"/>
  <c r="R33"/>
  <c r="R61" s="1"/>
  <c r="R35"/>
  <c r="R63" s="1"/>
  <c r="Q48"/>
  <c r="Q62" s="1"/>
  <c r="AM12"/>
  <c r="AL13"/>
  <c r="S6"/>
  <c r="AK25" l="1"/>
  <c r="AJ26"/>
  <c r="S33"/>
  <c r="S61" s="1"/>
  <c r="S35"/>
  <c r="S63" s="1"/>
  <c r="R48"/>
  <c r="R62" s="1"/>
  <c r="AN12"/>
  <c r="AN13" s="1"/>
  <c r="AM13"/>
  <c r="T6"/>
  <c r="AK26" l="1"/>
  <c r="AL25"/>
  <c r="T33"/>
  <c r="T61" s="1"/>
  <c r="U48"/>
  <c r="U62" s="1"/>
  <c r="T35"/>
  <c r="T63" s="1"/>
  <c r="S48"/>
  <c r="S62" s="1"/>
  <c r="U6"/>
  <c r="AL26" l="1"/>
  <c r="AM25"/>
  <c r="U33"/>
  <c r="U61" s="1"/>
  <c r="V48"/>
  <c r="V62" s="1"/>
  <c r="U35"/>
  <c r="U63" s="1"/>
  <c r="T48"/>
  <c r="T62" s="1"/>
  <c r="AN25" l="1"/>
  <c r="AN26" s="1"/>
  <c r="AM26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<sst xmlns="http://schemas.openxmlformats.org/spreadsheetml/2006/main" count="30" uniqueCount="18">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</sst>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0.0"/>
  </numFmts>
  <fonts count="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6"/>
      <color rgb="FF00000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  <xf numFmtId="0" fontId="1" fillId="0" borderId="0" xfId="0" applyFont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roundedCorners val="1"/>
  <c:chart>
    <c:autoTitleDeleted val="1"/>
    <c:plotArea>
      <c:layout>
        <c:manualLayout>
          <c:layoutTarget val="inner"/>
          <c:xMode val="edge"/>
          <c:yMode val="edge"/>
          <c:x val="8.5458700479775954E-2"/>
          <c:y val="8.9646862324027715E-2"/>
          <c:w val="0.81238912576995648"/>
          <c:h val="0.83915527561132464"/>
        </c:manualLayout>
      </c:layout>
      <c:lineChart>
        <c:grouping val="standard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-3.5737088329915422E-2</c:v>
                </c:pt>
                <c:pt idx="2">
                  <c:v>-9.1033955063903702E-2</c:v>
                </c:pt>
                <c:pt idx="3">
                  <c:v>-0.20357095120736632</c:v>
                </c:pt>
                <c:pt idx="4">
                  <c:v>-0.59334658565785503</c:v>
                </c:pt>
                <c:pt idx="5">
                  <c:v>0.3086405437407666</c:v>
                </c:pt>
                <c:pt idx="6">
                  <c:v>0.58970050952717434</c:v>
                </c:pt>
                <c:pt idx="7">
                  <c:v>0.74184411484253365</c:v>
                </c:pt>
                <c:pt idx="8">
                  <c:v>0.85363224103290125</c:v>
                </c:pt>
                <c:pt idx="9">
                  <c:v>0.95233496329863554</c:v>
                </c:pt>
                <c:pt idx="10">
                  <c:v>0.89241443213802996</c:v>
                </c:pt>
                <c:pt idx="11">
                  <c:v>0.84549089991021897</c:v>
                </c:pt>
                <c:pt idx="12">
                  <c:v>0.80891509135661177</c:v>
                </c:pt>
                <c:pt idx="13">
                  <c:v>0.77836959762673363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2.4108142914774363E-2</c:v>
                </c:pt>
                <c:pt idx="2">
                  <c:v>5.5728660690947437E-2</c:v>
                </c:pt>
                <c:pt idx="3">
                  <c:v>0.10328888521413319</c:v>
                </c:pt>
                <c:pt idx="4">
                  <c:v>0.1745863302721409</c:v>
                </c:pt>
                <c:pt idx="5">
                  <c:v>0.26984684527938951</c:v>
                </c:pt>
                <c:pt idx="6">
                  <c:v>0.36882014806353253</c:v>
                </c:pt>
                <c:pt idx="7">
                  <c:v>0.45761033616814528</c:v>
                </c:pt>
                <c:pt idx="8">
                  <c:v>0.5313246208959026</c:v>
                </c:pt>
                <c:pt idx="9">
                  <c:v>0.59021014069672673</c:v>
                </c:pt>
                <c:pt idx="10">
                  <c:v>0.63657203904440396</c:v>
                </c:pt>
                <c:pt idx="11">
                  <c:v>0.67321671088750012</c:v>
                </c:pt>
                <c:pt idx="12">
                  <c:v>0.70282181254879106</c:v>
                </c:pt>
                <c:pt idx="13">
                  <c:v>0.72774340470816246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/>
        <c:marker val="1"/>
        <c:axId val="67086208"/>
        <c:axId val="67087744"/>
      </c:lineChart>
      <c:catAx>
        <c:axId val="6708620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087744"/>
        <c:crosses val="autoZero"/>
        <c:auto val="1"/>
        <c:lblAlgn val="ctr"/>
        <c:lblOffset val="100"/>
        <c:tickMarkSkip val="1"/>
      </c:catAx>
      <c:valAx>
        <c:axId val="67087744"/>
        <c:scaling>
          <c:orientation val="minMax"/>
          <c:max val="1"/>
          <c:min val="-1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08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14757</xdr:colOff>
      <xdr:row>28</xdr:row>
      <xdr:rowOff>3280</xdr:rowOff>
    </xdr:from>
    <xdr:to>
      <xdr:col>38</xdr:col>
      <xdr:colOff>437029</xdr:colOff>
      <xdr:row>56</xdr:row>
      <xdr:rowOff>156882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N72"/>
  <sheetViews>
    <sheetView tabSelected="1" zoomScale="85" zoomScaleNormal="85" workbookViewId="0">
      <selection activeCell="C34" sqref="C34"/>
    </sheetView>
  </sheetViews>
  <sheetFormatPr defaultRowHeight="15"/>
  <cols>
    <col min="1" max="1" width="9.28515625" customWidth="1"/>
    <col min="7" max="7" width="5.140625" bestFit="1" customWidth="1"/>
    <col min="8" max="22" width="6.140625" bestFit="1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</row>
    <row r="2" spans="1:40">
      <c r="A2" s="1" t="s">
        <v>0</v>
      </c>
      <c r="B2" s="1">
        <v>0.2</v>
      </c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3" spans="1:40"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40">
      <c r="A4" s="1" t="s">
        <v>1</v>
      </c>
      <c r="B4" s="1">
        <v>10</v>
      </c>
      <c r="G4" s="12"/>
      <c r="H4" s="29">
        <v>1</v>
      </c>
      <c r="I4" s="29">
        <v>2</v>
      </c>
      <c r="J4" s="29">
        <v>3</v>
      </c>
      <c r="K4" s="29">
        <v>4</v>
      </c>
      <c r="L4" s="29">
        <v>5</v>
      </c>
      <c r="M4" s="29">
        <v>6</v>
      </c>
      <c r="N4" s="29">
        <v>7</v>
      </c>
      <c r="O4" s="29">
        <v>8</v>
      </c>
      <c r="P4" s="29">
        <v>9</v>
      </c>
      <c r="Q4" s="29">
        <v>10</v>
      </c>
      <c r="R4" s="29">
        <v>11</v>
      </c>
      <c r="S4" s="29">
        <v>12</v>
      </c>
      <c r="T4" s="29">
        <v>13</v>
      </c>
      <c r="U4" s="29">
        <v>14</v>
      </c>
      <c r="V4" s="29">
        <v>15</v>
      </c>
      <c r="W4" s="3"/>
    </row>
    <row r="5" spans="1:40">
      <c r="A5" s="1" t="s">
        <v>2</v>
      </c>
      <c r="B5" s="1">
        <v>101325</v>
      </c>
      <c r="F5" s="33" t="s">
        <v>9</v>
      </c>
      <c r="G5" s="13">
        <f t="shared" ref="G5:G13" si="0">G6+B$2</f>
        <v>1.9999999999999998</v>
      </c>
      <c r="H5" s="11">
        <f t="shared" ref="H5:H8" si="1">H6+$B$4*$B$2</f>
        <v>10</v>
      </c>
      <c r="I5" s="14">
        <f>H5</f>
        <v>10</v>
      </c>
      <c r="J5" s="14">
        <f t="shared" ref="J5:V5" si="2">I5</f>
        <v>10</v>
      </c>
      <c r="K5" s="14">
        <f t="shared" si="2"/>
        <v>10</v>
      </c>
      <c r="L5" s="14">
        <f t="shared" si="2"/>
        <v>10</v>
      </c>
      <c r="M5" s="14">
        <f t="shared" si="2"/>
        <v>10</v>
      </c>
      <c r="N5" s="14">
        <f t="shared" si="2"/>
        <v>10</v>
      </c>
      <c r="O5" s="14">
        <f t="shared" si="2"/>
        <v>10</v>
      </c>
      <c r="P5" s="14">
        <f t="shared" si="2"/>
        <v>10</v>
      </c>
      <c r="Q5" s="14">
        <f t="shared" si="2"/>
        <v>10</v>
      </c>
      <c r="R5" s="14">
        <f t="shared" si="2"/>
        <v>10</v>
      </c>
      <c r="S5" s="14">
        <f t="shared" si="2"/>
        <v>10</v>
      </c>
      <c r="T5" s="14">
        <f t="shared" si="2"/>
        <v>10</v>
      </c>
      <c r="U5" s="14">
        <f t="shared" si="2"/>
        <v>10</v>
      </c>
      <c r="V5" s="14">
        <f t="shared" si="2"/>
        <v>10</v>
      </c>
      <c r="W5" s="4">
        <v>11</v>
      </c>
      <c r="Y5" s="32">
        <v>0</v>
      </c>
      <c r="Z5" s="32">
        <v>1</v>
      </c>
      <c r="AA5" s="32">
        <v>2</v>
      </c>
      <c r="AB5" s="32">
        <v>3</v>
      </c>
      <c r="AC5" s="32">
        <v>4</v>
      </c>
      <c r="AD5" s="32">
        <v>5</v>
      </c>
      <c r="AE5" s="32">
        <v>6</v>
      </c>
      <c r="AF5" s="32">
        <v>7</v>
      </c>
      <c r="AG5" s="32">
        <v>8</v>
      </c>
      <c r="AH5" s="32">
        <v>9</v>
      </c>
      <c r="AI5" s="32">
        <v>10</v>
      </c>
      <c r="AJ5" s="32">
        <v>11</v>
      </c>
      <c r="AK5" s="32">
        <v>12</v>
      </c>
      <c r="AL5" s="32">
        <v>13</v>
      </c>
      <c r="AM5" s="32">
        <v>14</v>
      </c>
      <c r="AN5" s="32">
        <v>15</v>
      </c>
    </row>
    <row r="6" spans="1:40">
      <c r="A6" s="1" t="s">
        <v>3</v>
      </c>
      <c r="B6" s="1">
        <f>((G5-G10)*B4)/(G5-G15)</f>
        <v>5</v>
      </c>
      <c r="G6" s="13">
        <f t="shared" si="0"/>
        <v>1.7999999999999998</v>
      </c>
      <c r="H6" s="11">
        <f t="shared" si="1"/>
        <v>8</v>
      </c>
      <c r="I6" s="15">
        <f>0.25*(I19+J20+I21+H20)</f>
        <v>8.0283446535822875</v>
      </c>
      <c r="J6" s="15">
        <f t="shared" ref="J6:U6" si="3">0.25*(J19+K20+J21+I20)</f>
        <v>8.0648681706121277</v>
      </c>
      <c r="K6" s="15">
        <f t="shared" si="3"/>
        <v>8.1180730283557825</v>
      </c>
      <c r="L6" s="15">
        <f t="shared" si="3"/>
        <v>8.1952172102353398</v>
      </c>
      <c r="M6" s="15">
        <f t="shared" si="3"/>
        <v>8.2968869941460248</v>
      </c>
      <c r="N6" s="15">
        <f t="shared" si="3"/>
        <v>8.4102907538042473</v>
      </c>
      <c r="O6" s="15">
        <f t="shared" si="3"/>
        <v>8.5221491512286285</v>
      </c>
      <c r="P6" s="15">
        <f t="shared" si="3"/>
        <v>8.6241902041920895</v>
      </c>
      <c r="Q6" s="15">
        <f t="shared" si="3"/>
        <v>8.7130064628836443</v>
      </c>
      <c r="R6" s="15">
        <f t="shared" si="3"/>
        <v>8.788428889010202</v>
      </c>
      <c r="S6" s="15">
        <f t="shared" si="3"/>
        <v>8.8521085573025893</v>
      </c>
      <c r="T6" s="15">
        <f t="shared" si="3"/>
        <v>8.9066038239976137</v>
      </c>
      <c r="U6" s="15">
        <f t="shared" si="3"/>
        <v>8.954868822059975</v>
      </c>
      <c r="V6" s="14">
        <f t="shared" ref="V6:V13" si="4">V7+$B$6*$B$2</f>
        <v>9</v>
      </c>
      <c r="W6" s="4">
        <v>10</v>
      </c>
      <c r="Y6" s="31" t="s">
        <v>9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>
      <c r="G7" s="13">
        <f t="shared" si="0"/>
        <v>1.5999999999999999</v>
      </c>
      <c r="H7" s="11">
        <f t="shared" si="1"/>
        <v>6</v>
      </c>
      <c r="I7" s="15">
        <f t="shared" ref="I7:U7" si="7">0.25*(I20+J21+I22+H21)</f>
        <v>6.0485104437234138</v>
      </c>
      <c r="J7" s="15">
        <f t="shared" si="7"/>
        <v>6.1130550005245681</v>
      </c>
      <c r="K7" s="15">
        <f t="shared" si="7"/>
        <v>6.2122067325980943</v>
      </c>
      <c r="L7" s="15">
        <f t="shared" si="7"/>
        <v>6.3659088184741544</v>
      </c>
      <c r="M7" s="15">
        <f t="shared" si="7"/>
        <v>6.5820400125907419</v>
      </c>
      <c r="N7" s="15">
        <f t="shared" si="7"/>
        <v>6.8221268699042694</v>
      </c>
      <c r="O7" s="15">
        <f t="shared" si="7"/>
        <v>7.0541156469898603</v>
      </c>
      <c r="P7" s="15">
        <f t="shared" si="7"/>
        <v>7.2616052027389628</v>
      </c>
      <c r="Q7" s="15">
        <f t="shared" si="7"/>
        <v>7.439406758414739</v>
      </c>
      <c r="R7" s="15">
        <f t="shared" si="7"/>
        <v>7.5886005359355861</v>
      </c>
      <c r="S7" s="15">
        <f t="shared" si="7"/>
        <v>7.7134015162690988</v>
      </c>
      <c r="T7" s="15">
        <f t="shared" si="7"/>
        <v>7.8194379166782273</v>
      </c>
      <c r="U7" s="15">
        <f t="shared" si="7"/>
        <v>7.9128714642678659</v>
      </c>
      <c r="V7" s="14">
        <f t="shared" si="4"/>
        <v>8</v>
      </c>
      <c r="W7" s="4">
        <v>9</v>
      </c>
      <c r="Y7" s="30" t="s">
        <v>13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>
      <c r="A8" s="1" t="s">
        <v>4</v>
      </c>
      <c r="B8" s="1">
        <v>300</v>
      </c>
      <c r="C8">
        <v>300</v>
      </c>
      <c r="G8" s="13">
        <f t="shared" si="0"/>
        <v>1.4</v>
      </c>
      <c r="H8" s="11">
        <f t="shared" si="1"/>
        <v>4</v>
      </c>
      <c r="I8" s="15">
        <f t="shared" ref="I8:U8" si="9">0.25*(I21+J22+I23+H22)</f>
        <v>4.0526421207977545</v>
      </c>
      <c r="J8" s="15">
        <f t="shared" si="9"/>
        <v>4.1266346551872832</v>
      </c>
      <c r="K8" s="15">
        <f t="shared" si="9"/>
        <v>4.251790083077104</v>
      </c>
      <c r="L8" s="15">
        <f t="shared" si="9"/>
        <v>4.4741713185298586</v>
      </c>
      <c r="M8" s="15">
        <f t="shared" si="9"/>
        <v>4.8432373679232672</v>
      </c>
      <c r="N8" s="15">
        <f t="shared" si="9"/>
        <v>5.2420610663399998</v>
      </c>
      <c r="O8" s="15">
        <f t="shared" si="9"/>
        <v>5.610581364223826</v>
      </c>
      <c r="P8" s="15">
        <f t="shared" si="9"/>
        <v>5.9287082015070585</v>
      </c>
      <c r="Q8" s="15">
        <f t="shared" si="9"/>
        <v>6.194414832260148</v>
      </c>
      <c r="R8" s="15">
        <f t="shared" si="9"/>
        <v>6.4131649801945159</v>
      </c>
      <c r="S8" s="15">
        <f t="shared" si="9"/>
        <v>6.5934590552896433</v>
      </c>
      <c r="T8" s="15">
        <f t="shared" si="9"/>
        <v>6.7448748622696115</v>
      </c>
      <c r="U8" s="15">
        <f t="shared" si="9"/>
        <v>6.8771791183832311</v>
      </c>
      <c r="V8" s="14">
        <f t="shared" si="4"/>
        <v>7</v>
      </c>
      <c r="W8" s="4">
        <v>8</v>
      </c>
      <c r="Y8" s="30" t="s">
        <v>14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>
      <c r="G9" s="13">
        <f t="shared" si="0"/>
        <v>1.2</v>
      </c>
      <c r="H9" s="11">
        <f>H10+$B$4*$B$2</f>
        <v>2</v>
      </c>
      <c r="I9" s="15">
        <f t="shared" ref="I9:U14" si="12">0.25*(I22+J23+I24+H23)</f>
        <v>2.0354233842911937</v>
      </c>
      <c r="J9" s="15">
        <f t="shared" si="12"/>
        <v>2.0890514163742018</v>
      </c>
      <c r="K9" s="15">
        <f t="shared" si="12"/>
        <v>2.194147626033625</v>
      </c>
      <c r="L9" s="15">
        <f t="shared" si="12"/>
        <v>2.4357490047114911</v>
      </c>
      <c r="M9" s="15">
        <f t="shared" si="12"/>
        <v>3.0746770743298479</v>
      </c>
      <c r="N9" s="15">
        <f t="shared" si="12"/>
        <v>3.6922986634483062</v>
      </c>
      <c r="O9" s="15">
        <f t="shared" si="12"/>
        <v>4.217440542227509</v>
      </c>
      <c r="P9" s="15">
        <f t="shared" si="12"/>
        <v>4.648231407006703</v>
      </c>
      <c r="Q9" s="15">
        <f t="shared" si="12"/>
        <v>4.9963793891285233</v>
      </c>
      <c r="R9" s="15">
        <f t="shared" si="12"/>
        <v>5.2761854974959412</v>
      </c>
      <c r="S9" s="15">
        <f t="shared" si="12"/>
        <v>5.5023948625937189</v>
      </c>
      <c r="T9" s="15">
        <f t="shared" si="12"/>
        <v>5.6894233588553291</v>
      </c>
      <c r="U9" s="15">
        <f t="shared" si="12"/>
        <v>5.8509701470606634</v>
      </c>
      <c r="V9" s="14">
        <f t="shared" si="4"/>
        <v>6</v>
      </c>
      <c r="W9" s="4">
        <v>7</v>
      </c>
      <c r="Y9" s="30" t="s">
        <v>10</v>
      </c>
      <c r="Z9" s="5">
        <f>H38</f>
        <v>10</v>
      </c>
      <c r="AA9" s="5">
        <f>I38</f>
        <v>10.177116921455967</v>
      </c>
      <c r="AB9" s="5">
        <f t="shared" ref="AB9:AD9" si="13">J38</f>
        <v>10.445257081871008</v>
      </c>
      <c r="AC9" s="5">
        <f t="shared" si="13"/>
        <v>10.970738130168124</v>
      </c>
      <c r="AD9" s="5">
        <f t="shared" si="13"/>
        <v>12.178745023557456</v>
      </c>
      <c r="AE9" s="5">
        <f>M39</f>
        <v>6.6371163066359129</v>
      </c>
      <c r="AF9" s="5">
        <f>N40</f>
        <v>5.0084561252065081</v>
      </c>
      <c r="AG9" s="5">
        <f>O41</f>
        <v>3.9931586856986216</v>
      </c>
      <c r="AH9" s="5">
        <f>P42</f>
        <v>3.1416989395181103</v>
      </c>
      <c r="AI9" s="5">
        <f t="shared" ref="AI9:AM9" si="14">Q43</f>
        <v>2.1832323903183659</v>
      </c>
      <c r="AJ9" s="5">
        <f t="shared" si="14"/>
        <v>3.2800239002475138</v>
      </c>
      <c r="AK9" s="5">
        <f t="shared" si="14"/>
        <v>3.9307645578152464</v>
      </c>
      <c r="AL9" s="5">
        <f t="shared" si="14"/>
        <v>4.3713259846811114</v>
      </c>
      <c r="AM9" s="5">
        <f t="shared" si="14"/>
        <v>4.7077638255674348</v>
      </c>
      <c r="AN9" s="5">
        <f>V43</f>
        <v>5</v>
      </c>
    </row>
    <row r="10" spans="1:40">
      <c r="A10" s="1" t="s">
        <v>5</v>
      </c>
      <c r="B10" s="1">
        <v>15</v>
      </c>
      <c r="G10" s="13">
        <f t="shared" si="0"/>
        <v>1</v>
      </c>
      <c r="H10" s="11">
        <v>0</v>
      </c>
      <c r="I10" s="14">
        <v>0</v>
      </c>
      <c r="J10" s="14">
        <v>0</v>
      </c>
      <c r="K10" s="14">
        <v>0</v>
      </c>
      <c r="L10" s="14">
        <v>0</v>
      </c>
      <c r="M10" s="15">
        <f t="shared" si="12"/>
        <v>1.3274232613271826</v>
      </c>
      <c r="N10" s="15">
        <f t="shared" si="12"/>
        <v>2.235015971030538</v>
      </c>
      <c r="O10" s="15">
        <f t="shared" si="12"/>
        <v>2.9186507344170489</v>
      </c>
      <c r="P10" s="15">
        <f t="shared" si="12"/>
        <v>3.4503974953763619</v>
      </c>
      <c r="Q10" s="15">
        <f t="shared" si="12"/>
        <v>3.8666858199881271</v>
      </c>
      <c r="R10" s="15">
        <f t="shared" si="12"/>
        <v>4.1928027582888392</v>
      </c>
      <c r="S10" s="15">
        <f t="shared" si="12"/>
        <v>4.4505115389332905</v>
      </c>
      <c r="T10" s="15">
        <f t="shared" si="12"/>
        <v>4.659453563638805</v>
      </c>
      <c r="U10" s="15">
        <f t="shared" si="12"/>
        <v>4.8372781110818792</v>
      </c>
      <c r="V10" s="14">
        <f t="shared" si="4"/>
        <v>5</v>
      </c>
      <c r="W10" s="4">
        <v>6</v>
      </c>
      <c r="Y10" s="30" t="s">
        <v>11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-3.3185581533179564</v>
      </c>
      <c r="AE10" s="5">
        <f>M53</f>
        <v>-5.0084561252065081</v>
      </c>
      <c r="AF10" s="5">
        <f>N54</f>
        <v>-3.9931586856986216</v>
      </c>
      <c r="AG10" s="5">
        <f>O55</f>
        <v>-3.1416989395181103</v>
      </c>
      <c r="AH10" s="5">
        <f>P56</f>
        <v>-2.1832323903183659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>
      <c r="A11" s="1" t="s">
        <v>6</v>
      </c>
      <c r="B11" s="1">
        <v>11</v>
      </c>
      <c r="G11" s="13">
        <f t="shared" si="0"/>
        <v>0.8</v>
      </c>
      <c r="H11" s="12"/>
      <c r="I11" s="12"/>
      <c r="J11" s="12"/>
      <c r="K11" s="12"/>
      <c r="L11" s="12"/>
      <c r="M11" s="14">
        <v>0</v>
      </c>
      <c r="N11" s="15">
        <f t="shared" si="12"/>
        <v>1.0016912250413017</v>
      </c>
      <c r="O11" s="15">
        <f t="shared" si="12"/>
        <v>1.7717489291945576</v>
      </c>
      <c r="P11" s="15">
        <f t="shared" si="12"/>
        <v>2.368022020303302</v>
      </c>
      <c r="Q11" s="15">
        <f t="shared" si="12"/>
        <v>2.8271636373830411</v>
      </c>
      <c r="R11" s="15">
        <f t="shared" si="12"/>
        <v>3.1778281769684362</v>
      </c>
      <c r="S11" s="15">
        <f t="shared" si="12"/>
        <v>3.4473949714064505</v>
      </c>
      <c r="T11" s="15">
        <f t="shared" si="12"/>
        <v>3.6606012458344002</v>
      </c>
      <c r="U11" s="15">
        <f t="shared" si="12"/>
        <v>3.8386887337047955</v>
      </c>
      <c r="V11" s="14">
        <f t="shared" si="4"/>
        <v>4</v>
      </c>
      <c r="W11" s="4">
        <v>5</v>
      </c>
      <c r="Y11" s="30" t="s">
        <v>15</v>
      </c>
      <c r="Z11" s="5">
        <f>((Z9)^2+(Z10)^2)^0.5</f>
        <v>10</v>
      </c>
      <c r="AA11" s="5">
        <f t="shared" ref="AA11:AN11" si="17">((AA9)^2+(AA10)^2)^0.5</f>
        <v>10.177116921455967</v>
      </c>
      <c r="AB11" s="5">
        <f t="shared" si="17"/>
        <v>10.445257081871008</v>
      </c>
      <c r="AC11" s="5">
        <f t="shared" si="17"/>
        <v>10.970738130168124</v>
      </c>
      <c r="AD11" s="5">
        <f t="shared" si="17"/>
        <v>12.622783312953549</v>
      </c>
      <c r="AE11" s="5">
        <f t="shared" si="17"/>
        <v>8.3148028013856674</v>
      </c>
      <c r="AF11" s="5">
        <f t="shared" si="17"/>
        <v>6.4054624382076373</v>
      </c>
      <c r="AG11" s="5">
        <f t="shared" si="17"/>
        <v>5.0809043009822146</v>
      </c>
      <c r="AH11" s="5">
        <f t="shared" si="17"/>
        <v>3.8258039542956803</v>
      </c>
      <c r="AI11" s="5">
        <f t="shared" si="17"/>
        <v>2.1832323903183659</v>
      </c>
      <c r="AJ11" s="5">
        <f t="shared" si="17"/>
        <v>3.2800239002475138</v>
      </c>
      <c r="AK11" s="5">
        <f t="shared" si="17"/>
        <v>3.9307645578152464</v>
      </c>
      <c r="AL11" s="5">
        <f t="shared" si="17"/>
        <v>4.3713259846811114</v>
      </c>
      <c r="AM11" s="5">
        <f t="shared" si="17"/>
        <v>4.7077638255674348</v>
      </c>
      <c r="AN11" s="5">
        <f t="shared" si="17"/>
        <v>5</v>
      </c>
    </row>
    <row r="12" spans="1:40">
      <c r="A12" s="1" t="s">
        <v>7</v>
      </c>
      <c r="B12" s="1">
        <v>15</v>
      </c>
      <c r="F12" s="6"/>
      <c r="G12" s="13">
        <f t="shared" si="0"/>
        <v>0.60000000000000009</v>
      </c>
      <c r="H12" s="12"/>
      <c r="I12" s="12"/>
      <c r="J12" s="12"/>
      <c r="K12" s="12"/>
      <c r="L12" s="12"/>
      <c r="M12" s="12"/>
      <c r="N12" s="14">
        <v>0</v>
      </c>
      <c r="O12" s="15">
        <f t="shared" si="12"/>
        <v>0.79863173713972435</v>
      </c>
      <c r="P12" s="15">
        <f t="shared" si="12"/>
        <v>1.422778019425831</v>
      </c>
      <c r="Q12" s="15">
        <f t="shared" si="12"/>
        <v>1.896118532474647</v>
      </c>
      <c r="R12" s="15">
        <f t="shared" si="12"/>
        <v>2.2439513409943679</v>
      </c>
      <c r="S12" s="15">
        <f t="shared" si="12"/>
        <v>2.5006389240734856</v>
      </c>
      <c r="T12" s="15">
        <f t="shared" si="12"/>
        <v>2.6968677147200983</v>
      </c>
      <c r="U12" s="15">
        <f t="shared" si="12"/>
        <v>2.8568755779763668</v>
      </c>
      <c r="V12" s="14">
        <f t="shared" si="4"/>
        <v>3</v>
      </c>
      <c r="W12" s="4">
        <v>4</v>
      </c>
      <c r="Y12" s="30" t="s">
        <v>16</v>
      </c>
      <c r="Z12" s="9">
        <f>B5</f>
        <v>101325</v>
      </c>
      <c r="AA12" s="9">
        <f>(Z12+(Z11^2)/2)-(AA11^2)/2</f>
        <v>101323.2131455835</v>
      </c>
      <c r="AB12" s="9">
        <f t="shared" ref="AB12:AN12" si="18">(AA12+(AA11^2)/2)-(AB11^2)/2</f>
        <v>101320.4483022468</v>
      </c>
      <c r="AC12" s="9">
        <f t="shared" si="18"/>
        <v>101314.82145243963</v>
      </c>
      <c r="AD12" s="9">
        <f t="shared" si="18"/>
        <v>101295.33267071711</v>
      </c>
      <c r="AE12" s="9">
        <f t="shared" si="18"/>
        <v>101340.43202718704</v>
      </c>
      <c r="AF12" s="9">
        <f t="shared" si="18"/>
        <v>101354.48502547636</v>
      </c>
      <c r="AG12" s="9">
        <f t="shared" si="18"/>
        <v>101362.09220574213</v>
      </c>
      <c r="AH12" s="9">
        <f t="shared" si="18"/>
        <v>101367.68161205165</v>
      </c>
      <c r="AI12" s="9">
        <f t="shared" si="18"/>
        <v>101372.61674816493</v>
      </c>
      <c r="AJ12" s="9">
        <f t="shared" si="18"/>
        <v>101369.6207216069</v>
      </c>
      <c r="AK12" s="9">
        <f t="shared" si="18"/>
        <v>101367.27454499551</v>
      </c>
      <c r="AL12" s="9">
        <f t="shared" si="18"/>
        <v>101365.44575456783</v>
      </c>
      <c r="AM12" s="9">
        <f t="shared" si="18"/>
        <v>101363.91847988134</v>
      </c>
      <c r="AN12" s="9">
        <f t="shared" si="18"/>
        <v>101362.5</v>
      </c>
    </row>
    <row r="13" spans="1:40">
      <c r="A13" s="1" t="s">
        <v>8</v>
      </c>
      <c r="B13" s="1">
        <v>6</v>
      </c>
      <c r="G13" s="13">
        <f t="shared" si="0"/>
        <v>0.4</v>
      </c>
      <c r="H13" s="12"/>
      <c r="I13" s="12"/>
      <c r="J13" s="12"/>
      <c r="K13" s="12"/>
      <c r="L13" s="12"/>
      <c r="M13" s="12"/>
      <c r="N13" s="12"/>
      <c r="O13" s="14">
        <v>0</v>
      </c>
      <c r="P13" s="15">
        <f t="shared" si="12"/>
        <v>0.6283397879036221</v>
      </c>
      <c r="Q13" s="15">
        <f t="shared" si="12"/>
        <v>1.0905811322429066</v>
      </c>
      <c r="R13" s="15">
        <f t="shared" si="12"/>
        <v>1.4012197306244316</v>
      </c>
      <c r="S13" s="15">
        <f t="shared" si="12"/>
        <v>1.6143416693166794</v>
      </c>
      <c r="T13" s="15">
        <f t="shared" si="12"/>
        <v>1.7693551111089136</v>
      </c>
      <c r="U13" s="15">
        <f t="shared" si="12"/>
        <v>1.8919458635389885</v>
      </c>
      <c r="V13" s="14">
        <f t="shared" si="4"/>
        <v>2</v>
      </c>
      <c r="W13" s="4">
        <v>3</v>
      </c>
      <c r="Y13" s="30" t="s">
        <v>17</v>
      </c>
      <c r="Z13" s="5">
        <f>(Z12-$B$5)/(($B$4^2)/2)</f>
        <v>0</v>
      </c>
      <c r="AA13" s="5">
        <f t="shared" ref="AA13:AN13" si="19">(AA12-$B$5)/(($B$4^2)/2)</f>
        <v>-3.5737088329915422E-2</v>
      </c>
      <c r="AB13" s="5">
        <f t="shared" si="19"/>
        <v>-9.1033955063903702E-2</v>
      </c>
      <c r="AC13" s="5">
        <f t="shared" si="19"/>
        <v>-0.20357095120736632</v>
      </c>
      <c r="AD13" s="5">
        <f t="shared" si="19"/>
        <v>-0.59334658565785503</v>
      </c>
      <c r="AE13" s="5">
        <f t="shared" si="19"/>
        <v>0.3086405437407666</v>
      </c>
      <c r="AF13" s="5">
        <f t="shared" si="19"/>
        <v>0.58970050952717434</v>
      </c>
      <c r="AG13" s="5">
        <f t="shared" si="19"/>
        <v>0.74184411484253365</v>
      </c>
      <c r="AH13" s="5">
        <f t="shared" si="19"/>
        <v>0.85363224103290125</v>
      </c>
      <c r="AI13" s="5">
        <f t="shared" si="19"/>
        <v>0.95233496329863554</v>
      </c>
      <c r="AJ13" s="5">
        <f t="shared" si="19"/>
        <v>0.89241443213802996</v>
      </c>
      <c r="AK13" s="5">
        <f t="shared" si="19"/>
        <v>0.84549089991021897</v>
      </c>
      <c r="AL13" s="5">
        <f t="shared" si="19"/>
        <v>0.80891509135661177</v>
      </c>
      <c r="AM13" s="5">
        <f t="shared" si="19"/>
        <v>0.77836959762673363</v>
      </c>
      <c r="AN13" s="5">
        <f t="shared" si="19"/>
        <v>0.75</v>
      </c>
    </row>
    <row r="14" spans="1:40">
      <c r="A14" s="2" t="s">
        <v>9</v>
      </c>
      <c r="B14" s="1">
        <v>0</v>
      </c>
      <c r="G14" s="13">
        <f>G15+B$2</f>
        <v>0.2</v>
      </c>
      <c r="H14" s="12"/>
      <c r="I14" s="12"/>
      <c r="J14" s="12"/>
      <c r="K14" s="12"/>
      <c r="L14" s="12"/>
      <c r="M14" s="12"/>
      <c r="N14" s="12"/>
      <c r="O14" s="12"/>
      <c r="P14" s="14">
        <v>0</v>
      </c>
      <c r="Q14" s="15">
        <f t="shared" si="12"/>
        <v>0.43664647806367324</v>
      </c>
      <c r="R14" s="15">
        <f t="shared" si="12"/>
        <v>0.6560047800495028</v>
      </c>
      <c r="S14" s="15">
        <f t="shared" si="12"/>
        <v>0.78615291156304934</v>
      </c>
      <c r="T14" s="15">
        <f t="shared" si="12"/>
        <v>0.8742651969362224</v>
      </c>
      <c r="U14" s="15">
        <f t="shared" si="12"/>
        <v>0.94155276511348696</v>
      </c>
      <c r="V14" s="14">
        <f>V15+$B$6*$B$2</f>
        <v>1</v>
      </c>
      <c r="W14" s="4">
        <v>2</v>
      </c>
    </row>
    <row r="15" spans="1:40">
      <c r="G15" s="13">
        <v>0</v>
      </c>
      <c r="H15" s="12"/>
      <c r="I15" s="12"/>
      <c r="J15" s="12"/>
      <c r="K15" s="12"/>
      <c r="L15" s="12"/>
      <c r="M15" s="12"/>
      <c r="N15" s="12"/>
      <c r="O15" s="12"/>
      <c r="P15" s="12"/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4">
        <v>1</v>
      </c>
    </row>
    <row r="16" spans="1:40">
      <c r="G16" s="12"/>
      <c r="H16" s="13">
        <v>0</v>
      </c>
      <c r="I16" s="13">
        <f>H16+$B$2</f>
        <v>0.2</v>
      </c>
      <c r="J16" s="13">
        <f t="shared" ref="J16:V16" si="20">I16+$B$2</f>
        <v>0.4</v>
      </c>
      <c r="K16" s="13">
        <f t="shared" si="20"/>
        <v>0.60000000000000009</v>
      </c>
      <c r="L16" s="13">
        <f t="shared" si="20"/>
        <v>0.8</v>
      </c>
      <c r="M16" s="13">
        <f t="shared" si="20"/>
        <v>1</v>
      </c>
      <c r="N16" s="13">
        <f t="shared" si="20"/>
        <v>1.2</v>
      </c>
      <c r="O16" s="13">
        <f t="shared" si="20"/>
        <v>1.4</v>
      </c>
      <c r="P16" s="13">
        <f t="shared" si="20"/>
        <v>1.5999999999999999</v>
      </c>
      <c r="Q16" s="13">
        <f t="shared" si="20"/>
        <v>1.7999999999999998</v>
      </c>
      <c r="R16" s="13">
        <f t="shared" si="20"/>
        <v>1.9999999999999998</v>
      </c>
      <c r="S16" s="13">
        <f t="shared" si="20"/>
        <v>2.1999999999999997</v>
      </c>
      <c r="T16" s="13">
        <f t="shared" si="20"/>
        <v>2.4</v>
      </c>
      <c r="U16" s="13">
        <f t="shared" si="20"/>
        <v>2.6</v>
      </c>
      <c r="V16" s="13">
        <f t="shared" si="20"/>
        <v>2.8000000000000003</v>
      </c>
      <c r="W16" s="3"/>
    </row>
    <row r="17" spans="7:40"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</row>
    <row r="18" spans="7:40">
      <c r="G18" s="12"/>
      <c r="H18" s="29">
        <v>1</v>
      </c>
      <c r="I18" s="29">
        <v>2</v>
      </c>
      <c r="J18" s="29">
        <v>3</v>
      </c>
      <c r="K18" s="29">
        <v>4</v>
      </c>
      <c r="L18" s="29">
        <v>5</v>
      </c>
      <c r="M18" s="29">
        <v>6</v>
      </c>
      <c r="N18" s="29">
        <v>7</v>
      </c>
      <c r="O18" s="29">
        <v>8</v>
      </c>
      <c r="P18" s="29">
        <v>9</v>
      </c>
      <c r="Q18" s="29">
        <v>10</v>
      </c>
      <c r="R18" s="29">
        <v>11</v>
      </c>
      <c r="S18" s="29">
        <v>12</v>
      </c>
      <c r="T18" s="29">
        <v>13</v>
      </c>
      <c r="U18" s="29">
        <v>14</v>
      </c>
      <c r="V18" s="29">
        <v>15</v>
      </c>
      <c r="W18" s="7"/>
      <c r="Y18" s="32">
        <v>0</v>
      </c>
      <c r="Z18" s="32">
        <v>1</v>
      </c>
      <c r="AA18" s="32">
        <v>2</v>
      </c>
      <c r="AB18" s="32">
        <v>3</v>
      </c>
      <c r="AC18" s="32">
        <v>4</v>
      </c>
      <c r="AD18" s="32">
        <v>5</v>
      </c>
      <c r="AE18" s="32">
        <v>6</v>
      </c>
      <c r="AF18" s="32">
        <v>7</v>
      </c>
      <c r="AG18" s="32">
        <v>8</v>
      </c>
      <c r="AH18" s="32">
        <v>9</v>
      </c>
      <c r="AI18" s="32">
        <v>10</v>
      </c>
      <c r="AJ18" s="32">
        <v>11</v>
      </c>
      <c r="AK18" s="32">
        <v>12</v>
      </c>
      <c r="AL18" s="32">
        <v>13</v>
      </c>
      <c r="AM18" s="32">
        <v>14</v>
      </c>
      <c r="AN18" s="32">
        <v>15</v>
      </c>
    </row>
    <row r="19" spans="7:40">
      <c r="G19" s="13">
        <f t="shared" ref="G19:G27" si="21">G20+B$2</f>
        <v>1.9999999999999998</v>
      </c>
      <c r="H19" s="17">
        <v>10</v>
      </c>
      <c r="I19" s="18">
        <v>10</v>
      </c>
      <c r="J19" s="18">
        <v>10</v>
      </c>
      <c r="K19" s="18">
        <v>10</v>
      </c>
      <c r="L19" s="18">
        <v>10</v>
      </c>
      <c r="M19" s="18">
        <v>10</v>
      </c>
      <c r="N19" s="18">
        <v>10</v>
      </c>
      <c r="O19" s="18">
        <v>10</v>
      </c>
      <c r="P19" s="18">
        <v>10</v>
      </c>
      <c r="Q19" s="18">
        <v>10</v>
      </c>
      <c r="R19" s="18">
        <v>10</v>
      </c>
      <c r="S19" s="18">
        <v>10</v>
      </c>
      <c r="T19" s="18">
        <v>10</v>
      </c>
      <c r="U19" s="18">
        <v>10</v>
      </c>
      <c r="V19" s="18">
        <v>10</v>
      </c>
      <c r="W19" s="7"/>
      <c r="Y19" s="31" t="s">
        <v>9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7:40">
      <c r="G20" s="13">
        <f t="shared" si="21"/>
        <v>1.7999999999999998</v>
      </c>
      <c r="H20" s="17">
        <v>8</v>
      </c>
      <c r="I20" s="13">
        <v>8.0283446535805307</v>
      </c>
      <c r="J20" s="13">
        <v>8.0648681706085252</v>
      </c>
      <c r="K20" s="13">
        <v>8.1180730283496274</v>
      </c>
      <c r="L20" s="13">
        <v>8.1952172102265166</v>
      </c>
      <c r="M20" s="13">
        <v>8.2968869941333381</v>
      </c>
      <c r="N20" s="13">
        <v>8.4102907537884519</v>
      </c>
      <c r="O20" s="13">
        <v>8.5221491512089589</v>
      </c>
      <c r="P20" s="13">
        <v>8.6241902041709508</v>
      </c>
      <c r="Q20" s="13">
        <v>8.7130064628610207</v>
      </c>
      <c r="R20" s="13">
        <v>8.7884288889895394</v>
      </c>
      <c r="S20" s="13">
        <v>8.8521085572843212</v>
      </c>
      <c r="T20" s="13">
        <v>8.9066038239847778</v>
      </c>
      <c r="U20" s="13">
        <v>8.9548688220529549</v>
      </c>
      <c r="V20" s="18">
        <v>9</v>
      </c>
      <c r="W20" s="7"/>
      <c r="Y20" s="30" t="s">
        <v>13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7:40">
      <c r="G21" s="13">
        <f t="shared" si="21"/>
        <v>1.5999999999999999</v>
      </c>
      <c r="H21" s="17">
        <v>6</v>
      </c>
      <c r="I21" s="13">
        <v>6.0485104437206196</v>
      </c>
      <c r="J21" s="13">
        <v>6.1130550005183526</v>
      </c>
      <c r="K21" s="13">
        <v>6.2122067325880908</v>
      </c>
      <c r="L21" s="13">
        <v>6.3659088184583954</v>
      </c>
      <c r="M21" s="13">
        <v>6.5820400125691298</v>
      </c>
      <c r="N21" s="13">
        <v>6.8221268698746931</v>
      </c>
      <c r="O21" s="13">
        <v>7.0541156469551147</v>
      </c>
      <c r="P21" s="13">
        <v>7.2616052026983757</v>
      </c>
      <c r="Q21" s="13">
        <v>7.4394067583740906</v>
      </c>
      <c r="R21" s="13">
        <v>7.5886005358954627</v>
      </c>
      <c r="S21" s="13">
        <v>7.7134015162360363</v>
      </c>
      <c r="T21" s="13">
        <v>7.8194379166531771</v>
      </c>
      <c r="U21" s="13">
        <v>7.9128714642551241</v>
      </c>
      <c r="V21" s="18">
        <v>8</v>
      </c>
      <c r="W21" s="7"/>
      <c r="Y21" s="30" t="s">
        <v>14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7:40">
      <c r="G22" s="13">
        <f t="shared" si="21"/>
        <v>1.4</v>
      </c>
      <c r="H22" s="17">
        <v>4</v>
      </c>
      <c r="I22" s="13">
        <v>4.0526421207947703</v>
      </c>
      <c r="J22" s="13">
        <v>4.1266346551810358</v>
      </c>
      <c r="K22" s="13">
        <v>4.2517900830660036</v>
      </c>
      <c r="L22" s="13">
        <v>4.4741713185128784</v>
      </c>
      <c r="M22" s="13">
        <v>4.8432373678965419</v>
      </c>
      <c r="N22" s="13">
        <v>5.2420610663043803</v>
      </c>
      <c r="O22" s="13">
        <v>5.6105813641774125</v>
      </c>
      <c r="P22" s="13">
        <v>5.9287082014556951</v>
      </c>
      <c r="Q22" s="13">
        <v>6.1944148322040977</v>
      </c>
      <c r="R22" s="13">
        <v>6.4131649801426782</v>
      </c>
      <c r="S22" s="13">
        <v>6.5934590552434376</v>
      </c>
      <c r="T22" s="13">
        <v>6.7448748622369736</v>
      </c>
      <c r="U22" s="13">
        <v>6.8771791183653317</v>
      </c>
      <c r="V22" s="18">
        <v>7</v>
      </c>
      <c r="W22" s="7"/>
      <c r="Y22" s="30" t="s">
        <v>10</v>
      </c>
      <c r="Z22" s="5">
        <f>H34</f>
        <v>10</v>
      </c>
      <c r="AA22" s="5">
        <f t="shared" ref="AA22:AN22" si="25">I34</f>
        <v>9.8787238906914645</v>
      </c>
      <c r="AB22" s="5">
        <f t="shared" si="25"/>
        <v>9.7173624986885798</v>
      </c>
      <c r="AC22" s="5">
        <f t="shared" si="25"/>
        <v>9.4694831685047642</v>
      </c>
      <c r="AD22" s="5">
        <f t="shared" si="25"/>
        <v>9.0852279538146128</v>
      </c>
      <c r="AE22" s="5">
        <f t="shared" si="25"/>
        <v>8.5448999685231453</v>
      </c>
      <c r="AF22" s="5">
        <f t="shared" si="25"/>
        <v>7.944682825239326</v>
      </c>
      <c r="AG22" s="5">
        <f t="shared" si="25"/>
        <v>7.3647108825253493</v>
      </c>
      <c r="AH22" s="5">
        <f t="shared" si="25"/>
        <v>6.845986993152593</v>
      </c>
      <c r="AI22" s="5">
        <f t="shared" si="25"/>
        <v>6.4014831039631526</v>
      </c>
      <c r="AJ22" s="5">
        <f t="shared" si="25"/>
        <v>6.0284986601610342</v>
      </c>
      <c r="AK22" s="5">
        <f t="shared" si="25"/>
        <v>5.7164962093272527</v>
      </c>
      <c r="AL22" s="5">
        <f t="shared" si="25"/>
        <v>5.4514052083044318</v>
      </c>
      <c r="AM22" s="5">
        <f t="shared" si="25"/>
        <v>5.2178213393303352</v>
      </c>
      <c r="AN22" s="5">
        <f t="shared" si="25"/>
        <v>5</v>
      </c>
    </row>
    <row r="23" spans="7:40">
      <c r="G23" s="13">
        <f t="shared" si="21"/>
        <v>1.2</v>
      </c>
      <c r="H23" s="17">
        <v>2</v>
      </c>
      <c r="I23" s="13">
        <v>2.0354233842893628</v>
      </c>
      <c r="J23" s="13">
        <v>2.0890514163700042</v>
      </c>
      <c r="K23" s="13">
        <v>2.194147626026409</v>
      </c>
      <c r="L23" s="13">
        <v>2.4357490046984922</v>
      </c>
      <c r="M23" s="13">
        <v>3.0746770743066767</v>
      </c>
      <c r="N23" s="13">
        <v>3.6922986634113499</v>
      </c>
      <c r="O23" s="13">
        <v>4.217440542180114</v>
      </c>
      <c r="P23" s="13">
        <v>4.648231406948347</v>
      </c>
      <c r="Q23" s="13">
        <v>4.9963793890681263</v>
      </c>
      <c r="R23" s="13">
        <v>5.2761854974350628</v>
      </c>
      <c r="S23" s="13">
        <v>5.5023948625428849</v>
      </c>
      <c r="T23" s="13">
        <v>5.6894233588165024</v>
      </c>
      <c r="U23" s="13">
        <v>5.8509701470408269</v>
      </c>
      <c r="V23" s="18">
        <v>6</v>
      </c>
      <c r="W23" s="7"/>
      <c r="Y23" s="30" t="s">
        <v>11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7:40">
      <c r="G24" s="13">
        <f t="shared" si="21"/>
        <v>1</v>
      </c>
      <c r="H24" s="17">
        <v>0</v>
      </c>
      <c r="I24" s="18">
        <v>0</v>
      </c>
      <c r="J24" s="18">
        <v>0</v>
      </c>
      <c r="K24" s="18">
        <v>0</v>
      </c>
      <c r="L24" s="18">
        <v>0</v>
      </c>
      <c r="M24" s="13">
        <v>1.3274232613130077</v>
      </c>
      <c r="N24" s="13">
        <v>2.2350159710020541</v>
      </c>
      <c r="O24" s="13">
        <v>2.9186507343729282</v>
      </c>
      <c r="P24" s="13">
        <v>3.4503974953228744</v>
      </c>
      <c r="Q24" s="13">
        <v>3.8666858199265848</v>
      </c>
      <c r="R24" s="13">
        <v>4.192802758230072</v>
      </c>
      <c r="S24" s="13">
        <v>4.4505115388798728</v>
      </c>
      <c r="T24" s="13">
        <v>4.659453563600632</v>
      </c>
      <c r="U24" s="13">
        <v>4.8372781110608187</v>
      </c>
      <c r="V24" s="18">
        <v>5</v>
      </c>
      <c r="W24" s="7"/>
      <c r="Y24" s="30" t="s">
        <v>15</v>
      </c>
      <c r="Z24" s="5">
        <f>((Z22)^2+(Z23)^2)^0.5</f>
        <v>10</v>
      </c>
      <c r="AA24" s="5">
        <f t="shared" ref="AA24" si="27">((AA22)^2+(AA23)^2)^0.5</f>
        <v>9.8787238906914645</v>
      </c>
      <c r="AB24" s="5">
        <f t="shared" ref="AB24" si="28">((AB22)^2+(AB23)^2)^0.5</f>
        <v>9.7173624986885798</v>
      </c>
      <c r="AC24" s="5">
        <f t="shared" ref="AC24" si="29">((AC22)^2+(AC23)^2)^0.5</f>
        <v>9.4694831685047642</v>
      </c>
      <c r="AD24" s="5">
        <f t="shared" ref="AD24" si="30">((AD22)^2+(AD23)^2)^0.5</f>
        <v>9.0852279538146128</v>
      </c>
      <c r="AE24" s="5">
        <f t="shared" ref="AE24" si="31">((AE22)^2+(AE23)^2)^0.5</f>
        <v>8.5448999685231453</v>
      </c>
      <c r="AF24" s="5">
        <f t="shared" ref="AF24" si="32">((AF22)^2+(AF23)^2)^0.5</f>
        <v>7.944682825239326</v>
      </c>
      <c r="AG24" s="5">
        <f t="shared" ref="AG24" si="33">((AG22)^2+(AG23)^2)^0.5</f>
        <v>7.3647108825253493</v>
      </c>
      <c r="AH24" s="5">
        <f t="shared" ref="AH24" si="34">((AH22)^2+(AH23)^2)^0.5</f>
        <v>6.845986993152593</v>
      </c>
      <c r="AI24" s="5">
        <f t="shared" ref="AI24" si="35">((AI22)^2+(AI23)^2)^0.5</f>
        <v>6.4014831039631526</v>
      </c>
      <c r="AJ24" s="5">
        <f t="shared" ref="AJ24" si="36">((AJ22)^2+(AJ23)^2)^0.5</f>
        <v>6.0284986601610342</v>
      </c>
      <c r="AK24" s="5">
        <f t="shared" ref="AK24" si="37">((AK22)^2+(AK23)^2)^0.5</f>
        <v>5.7164962093272527</v>
      </c>
      <c r="AL24" s="5">
        <f t="shared" ref="AL24" si="38">((AL22)^2+(AL23)^2)^0.5</f>
        <v>5.4514052083044318</v>
      </c>
      <c r="AM24" s="5">
        <f t="shared" ref="AM24" si="39">((AM22)^2+(AM23)^2)^0.5</f>
        <v>5.2178213393303352</v>
      </c>
      <c r="AN24" s="5">
        <f t="shared" ref="AN24" si="40">((AN22)^2+(AN23)^2)^0.5</f>
        <v>5</v>
      </c>
    </row>
    <row r="25" spans="7:40">
      <c r="G25" s="13">
        <f t="shared" si="21"/>
        <v>0.8</v>
      </c>
      <c r="H25" s="12"/>
      <c r="I25" s="12"/>
      <c r="J25" s="12"/>
      <c r="K25" s="12"/>
      <c r="L25" s="12"/>
      <c r="M25" s="18">
        <v>0</v>
      </c>
      <c r="N25" s="13">
        <v>1.0016912250248664</v>
      </c>
      <c r="O25" s="13">
        <v>1.7717489291631523</v>
      </c>
      <c r="P25" s="13">
        <v>2.3680220202575866</v>
      </c>
      <c r="Q25" s="13">
        <v>2.8271636373314362</v>
      </c>
      <c r="R25" s="13">
        <v>3.1778281769138381</v>
      </c>
      <c r="S25" s="13">
        <v>3.4473949713595733</v>
      </c>
      <c r="T25" s="13">
        <v>3.6606012457980266</v>
      </c>
      <c r="U25" s="13">
        <v>3.8386887336860593</v>
      </c>
      <c r="V25" s="18">
        <v>4</v>
      </c>
      <c r="W25" s="7"/>
      <c r="Y25" s="30" t="s">
        <v>16</v>
      </c>
      <c r="Z25" s="9">
        <f>B5</f>
        <v>101325</v>
      </c>
      <c r="AA25" s="9">
        <f>(Z25+(Z24^2)/2)-(AA24^2)/2</f>
        <v>101326.20540714574</v>
      </c>
      <c r="AB25" s="9">
        <f t="shared" ref="AB25" si="41">(AA25+(AA24^2)/2)-(AB24^2)/2</f>
        <v>101327.78643303455</v>
      </c>
      <c r="AC25" s="9">
        <f t="shared" ref="AC25" si="42">(AB25+(AB24^2)/2)-(AC24^2)/2</f>
        <v>101330.16444426071</v>
      </c>
      <c r="AD25" s="9">
        <f t="shared" ref="AD25" si="43">(AC25+(AC24^2)/2)-(AD24^2)/2</f>
        <v>101333.72931651361</v>
      </c>
      <c r="AE25" s="9">
        <f t="shared" ref="AE25" si="44">(AD25+(AD24^2)/2)-(AE24^2)/2</f>
        <v>101338.49234226397</v>
      </c>
      <c r="AF25" s="9">
        <f t="shared" ref="AF25" si="45">(AE25+(AE24^2)/2)-(AF24^2)/2</f>
        <v>101343.44100740318</v>
      </c>
      <c r="AG25" s="9">
        <f t="shared" ref="AG25" si="46">(AF25+(AF24^2)/2)-(AG24^2)/2</f>
        <v>101347.88051680841</v>
      </c>
      <c r="AH25" s="9">
        <f t="shared" ref="AH25" si="47">(AG25+(AG24^2)/2)-(AH24^2)/2</f>
        <v>101351.5662310448</v>
      </c>
      <c r="AI25" s="9">
        <f t="shared" ref="AI25" si="48">(AH25+(AH24^2)/2)-(AI24^2)/2</f>
        <v>101354.51050703484</v>
      </c>
      <c r="AJ25" s="9">
        <f t="shared" ref="AJ25" si="49">(AI25+(AI24^2)/2)-(AJ24^2)/2</f>
        <v>101356.82860195222</v>
      </c>
      <c r="AK25" s="9">
        <f t="shared" ref="AK25" si="50">(AJ25+(AJ24^2)/2)-(AK24^2)/2</f>
        <v>101358.66083554438</v>
      </c>
      <c r="AL25" s="9">
        <f t="shared" ref="AL25" si="51">(AK25+(AK24^2)/2)-(AL24^2)/2</f>
        <v>101360.14109062744</v>
      </c>
      <c r="AM25" s="9">
        <f t="shared" ref="AM25" si="52">(AL25+(AL24^2)/2)-(AM24^2)/2</f>
        <v>101361.38717023541</v>
      </c>
      <c r="AN25" s="9">
        <f t="shared" ref="AN25" si="53">(AM25+(AM24^2)/2)-(AN24^2)/2</f>
        <v>101362.5</v>
      </c>
    </row>
    <row r="26" spans="7:40">
      <c r="G26" s="13">
        <f t="shared" si="21"/>
        <v>0.60000000000000009</v>
      </c>
      <c r="H26" s="12"/>
      <c r="I26" s="12"/>
      <c r="J26" s="12"/>
      <c r="K26" s="12"/>
      <c r="L26" s="12"/>
      <c r="M26" s="12"/>
      <c r="N26" s="18">
        <v>0</v>
      </c>
      <c r="O26" s="13">
        <v>0.79863173712284929</v>
      </c>
      <c r="P26" s="13">
        <v>1.4227780193957451</v>
      </c>
      <c r="Q26" s="13">
        <v>1.8961185324341534</v>
      </c>
      <c r="R26" s="13">
        <v>2.243951340952663</v>
      </c>
      <c r="S26" s="13">
        <v>2.5006389240340643</v>
      </c>
      <c r="T26" s="13">
        <v>2.6968677146913373</v>
      </c>
      <c r="U26" s="13">
        <v>2.8568755779603361</v>
      </c>
      <c r="V26" s="18">
        <v>3</v>
      </c>
      <c r="W26" s="7"/>
      <c r="Y26" s="30" t="s">
        <v>17</v>
      </c>
      <c r="Z26" s="5">
        <f>(Z25-$B$5)/(($B$4^2)/2)</f>
        <v>0</v>
      </c>
      <c r="AA26" s="5">
        <f t="shared" ref="AA26" si="54">(AA25-$B$5)/(($B$4^2)/2)</f>
        <v>2.4108142914774363E-2</v>
      </c>
      <c r="AB26" s="5">
        <f t="shared" ref="AB26" si="55">(AB25-$B$5)/(($B$4^2)/2)</f>
        <v>5.5728660690947437E-2</v>
      </c>
      <c r="AC26" s="5">
        <f t="shared" ref="AC26" si="56">(AC25-$B$5)/(($B$4^2)/2)</f>
        <v>0.10328888521413319</v>
      </c>
      <c r="AD26" s="5">
        <f t="shared" ref="AD26" si="57">(AD25-$B$5)/(($B$4^2)/2)</f>
        <v>0.1745863302721409</v>
      </c>
      <c r="AE26" s="5">
        <f t="shared" ref="AE26" si="58">(AE25-$B$5)/(($B$4^2)/2)</f>
        <v>0.26984684527938951</v>
      </c>
      <c r="AF26" s="5">
        <f t="shared" ref="AF26" si="59">(AF25-$B$5)/(($B$4^2)/2)</f>
        <v>0.36882014806353253</v>
      </c>
      <c r="AG26" s="5">
        <f t="shared" ref="AG26" si="60">(AG25-$B$5)/(($B$4^2)/2)</f>
        <v>0.45761033616814528</v>
      </c>
      <c r="AH26" s="5">
        <f t="shared" ref="AH26" si="61">(AH25-$B$5)/(($B$4^2)/2)</f>
        <v>0.5313246208959026</v>
      </c>
      <c r="AI26" s="5">
        <f t="shared" ref="AI26" si="62">(AI25-$B$5)/(($B$4^2)/2)</f>
        <v>0.59021014069672673</v>
      </c>
      <c r="AJ26" s="5">
        <f t="shared" ref="AJ26" si="63">(AJ25-$B$5)/(($B$4^2)/2)</f>
        <v>0.63657203904440396</v>
      </c>
      <c r="AK26" s="5">
        <f t="shared" ref="AK26" si="64">(AK25-$B$5)/(($B$4^2)/2)</f>
        <v>0.67321671088750012</v>
      </c>
      <c r="AL26" s="5">
        <f t="shared" ref="AL26" si="65">(AL25-$B$5)/(($B$4^2)/2)</f>
        <v>0.70282181254879106</v>
      </c>
      <c r="AM26" s="5">
        <f t="shared" ref="AM26" si="66">(AM25-$B$5)/(($B$4^2)/2)</f>
        <v>0.72774340470816246</v>
      </c>
      <c r="AN26" s="5">
        <f t="shared" ref="AN26" si="67">(AN25-$B$5)/(($B$4^2)/2)</f>
        <v>0.75</v>
      </c>
    </row>
    <row r="27" spans="7:40">
      <c r="G27" s="13">
        <f t="shared" si="21"/>
        <v>0.4</v>
      </c>
      <c r="H27" s="12"/>
      <c r="I27" s="12"/>
      <c r="J27" s="12"/>
      <c r="K27" s="12"/>
      <c r="L27" s="12"/>
      <c r="M27" s="12"/>
      <c r="N27" s="12"/>
      <c r="O27" s="18">
        <v>0</v>
      </c>
      <c r="P27" s="13">
        <v>0.62833978788873468</v>
      </c>
      <c r="Q27" s="13">
        <v>1.0905811322187435</v>
      </c>
      <c r="R27" s="13">
        <v>1.4012197305954164</v>
      </c>
      <c r="S27" s="13">
        <v>1.6143416692903698</v>
      </c>
      <c r="T27" s="13">
        <v>1.7693551110879662</v>
      </c>
      <c r="U27" s="13">
        <v>1.8919458635280697</v>
      </c>
      <c r="V27" s="18">
        <v>2</v>
      </c>
      <c r="W27" s="7"/>
    </row>
    <row r="28" spans="7:40">
      <c r="G28" s="13">
        <f>G29+B$2</f>
        <v>0.2</v>
      </c>
      <c r="H28" s="12"/>
      <c r="I28" s="12"/>
      <c r="J28" s="12"/>
      <c r="K28" s="12"/>
      <c r="L28" s="12"/>
      <c r="M28" s="12"/>
      <c r="N28" s="12"/>
      <c r="O28" s="12"/>
      <c r="P28" s="18">
        <v>0</v>
      </c>
      <c r="Q28" s="13">
        <v>0.43664647805332302</v>
      </c>
      <c r="R28" s="13">
        <v>0.65600478003594942</v>
      </c>
      <c r="S28" s="13">
        <v>0.78615291154927147</v>
      </c>
      <c r="T28" s="13">
        <v>0.87426519692587801</v>
      </c>
      <c r="U28" s="13">
        <v>0.94155276510765185</v>
      </c>
      <c r="V28" s="18">
        <v>1</v>
      </c>
      <c r="W28" s="7"/>
    </row>
    <row r="29" spans="7:40">
      <c r="G29" s="13"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9">
        <v>0</v>
      </c>
      <c r="R29" s="19">
        <v>0</v>
      </c>
      <c r="S29" s="19">
        <v>0</v>
      </c>
      <c r="T29" s="19">
        <v>0</v>
      </c>
      <c r="U29" s="19">
        <v>0</v>
      </c>
      <c r="V29" s="18">
        <v>0</v>
      </c>
      <c r="W29" s="7"/>
    </row>
    <row r="30" spans="7:40">
      <c r="G30" s="12"/>
      <c r="H30" s="13">
        <v>0</v>
      </c>
      <c r="I30" s="13">
        <f>H30+$B$2</f>
        <v>0.2</v>
      </c>
      <c r="J30" s="13">
        <f t="shared" ref="J30:V30" si="68">I30+$B$2</f>
        <v>0.4</v>
      </c>
      <c r="K30" s="13">
        <f t="shared" si="68"/>
        <v>0.60000000000000009</v>
      </c>
      <c r="L30" s="13">
        <f t="shared" si="68"/>
        <v>0.8</v>
      </c>
      <c r="M30" s="13">
        <f t="shared" si="68"/>
        <v>1</v>
      </c>
      <c r="N30" s="13">
        <f t="shared" si="68"/>
        <v>1.2</v>
      </c>
      <c r="O30" s="13">
        <f t="shared" si="68"/>
        <v>1.4</v>
      </c>
      <c r="P30" s="13">
        <f t="shared" si="68"/>
        <v>1.5999999999999999</v>
      </c>
      <c r="Q30" s="13">
        <f t="shared" si="68"/>
        <v>1.7999999999999998</v>
      </c>
      <c r="R30" s="13">
        <f t="shared" si="68"/>
        <v>1.9999999999999998</v>
      </c>
      <c r="S30" s="13">
        <f t="shared" si="68"/>
        <v>2.1999999999999997</v>
      </c>
      <c r="T30" s="13">
        <f t="shared" si="68"/>
        <v>2.4</v>
      </c>
      <c r="U30" s="13">
        <f t="shared" si="68"/>
        <v>2.6</v>
      </c>
      <c r="V30" s="13">
        <f t="shared" si="68"/>
        <v>2.8000000000000003</v>
      </c>
      <c r="W30" s="7"/>
    </row>
    <row r="31" spans="7:40"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8"/>
    </row>
    <row r="32" spans="7:40">
      <c r="G32" s="12"/>
      <c r="H32" s="29">
        <v>1</v>
      </c>
      <c r="I32" s="29">
        <v>2</v>
      </c>
      <c r="J32" s="29">
        <v>3</v>
      </c>
      <c r="K32" s="29">
        <v>4</v>
      </c>
      <c r="L32" s="29">
        <v>5</v>
      </c>
      <c r="M32" s="29">
        <v>6</v>
      </c>
      <c r="N32" s="29">
        <v>7</v>
      </c>
      <c r="O32" s="29">
        <v>8</v>
      </c>
      <c r="P32" s="29">
        <v>9</v>
      </c>
      <c r="Q32" s="29">
        <v>10</v>
      </c>
      <c r="R32" s="29">
        <v>11</v>
      </c>
      <c r="S32" s="29">
        <v>12</v>
      </c>
      <c r="T32" s="29">
        <v>13</v>
      </c>
      <c r="U32" s="29">
        <v>14</v>
      </c>
      <c r="V32" s="29">
        <v>15</v>
      </c>
      <c r="W32" s="7"/>
    </row>
    <row r="33" spans="6:23">
      <c r="F33" s="3" t="s">
        <v>10</v>
      </c>
      <c r="G33" s="13">
        <f t="shared" ref="G33:G41" si="69">G34+B$2</f>
        <v>1.9999999999999998</v>
      </c>
      <c r="H33" s="17">
        <f>(H5-H6)/$B$2</f>
        <v>10</v>
      </c>
      <c r="I33" s="17">
        <f t="shared" ref="I33:V33" si="70">(I5-I6)/$B$2</f>
        <v>9.8582767320885623</v>
      </c>
      <c r="J33" s="17">
        <f t="shared" si="70"/>
        <v>9.6756591469393616</v>
      </c>
      <c r="K33" s="17">
        <f t="shared" si="70"/>
        <v>9.4096348582210876</v>
      </c>
      <c r="L33" s="17">
        <f t="shared" si="70"/>
        <v>9.0239139488233011</v>
      </c>
      <c r="M33" s="17">
        <f t="shared" si="70"/>
        <v>8.5155650292698759</v>
      </c>
      <c r="N33" s="17">
        <f t="shared" si="70"/>
        <v>7.9485462309787636</v>
      </c>
      <c r="O33" s="17">
        <f t="shared" si="70"/>
        <v>7.3892542438568576</v>
      </c>
      <c r="P33" s="17">
        <f t="shared" si="70"/>
        <v>6.8790489790395526</v>
      </c>
      <c r="Q33" s="17">
        <f t="shared" si="70"/>
        <v>6.4349676855817783</v>
      </c>
      <c r="R33" s="17">
        <f t="shared" si="70"/>
        <v>6.0578555549489899</v>
      </c>
      <c r="S33" s="17">
        <f t="shared" si="70"/>
        <v>5.7394572134870536</v>
      </c>
      <c r="T33" s="17">
        <f t="shared" si="70"/>
        <v>5.4669808800119313</v>
      </c>
      <c r="U33" s="17">
        <f t="shared" si="70"/>
        <v>5.2256558897001248</v>
      </c>
      <c r="V33" s="18">
        <f t="shared" si="70"/>
        <v>5</v>
      </c>
      <c r="W33" s="7"/>
    </row>
    <row r="34" spans="6:23">
      <c r="G34" s="13">
        <f t="shared" si="69"/>
        <v>1.7999999999999998</v>
      </c>
      <c r="H34" s="20">
        <f>(H5-H7)/(2*$B$2)</f>
        <v>10</v>
      </c>
      <c r="I34" s="13">
        <f>(I5-I7)/(2*$B$2)</f>
        <v>9.8787238906914645</v>
      </c>
      <c r="J34" s="13">
        <f t="shared" ref="J34:U34" si="71">(J5-J7)/(2*$B$2)</f>
        <v>9.7173624986885798</v>
      </c>
      <c r="K34" s="13">
        <f t="shared" si="71"/>
        <v>9.4694831685047642</v>
      </c>
      <c r="L34" s="13">
        <f t="shared" si="71"/>
        <v>9.0852279538146128</v>
      </c>
      <c r="M34" s="13">
        <f t="shared" ref="M34" si="72">(M5-M7)/(2*$B$2)</f>
        <v>8.5448999685231453</v>
      </c>
      <c r="N34" s="13">
        <f t="shared" si="71"/>
        <v>7.944682825239326</v>
      </c>
      <c r="O34" s="13">
        <f t="shared" si="71"/>
        <v>7.3647108825253493</v>
      </c>
      <c r="P34" s="13">
        <f t="shared" si="71"/>
        <v>6.845986993152593</v>
      </c>
      <c r="Q34" s="13">
        <f t="shared" si="71"/>
        <v>6.4014831039631526</v>
      </c>
      <c r="R34" s="13">
        <f t="shared" si="71"/>
        <v>6.0284986601610342</v>
      </c>
      <c r="S34" s="13">
        <f t="shared" si="71"/>
        <v>5.7164962093272527</v>
      </c>
      <c r="T34" s="13">
        <f t="shared" si="71"/>
        <v>5.4514052083044318</v>
      </c>
      <c r="U34" s="13">
        <f t="shared" si="71"/>
        <v>5.2178213393303352</v>
      </c>
      <c r="V34" s="21">
        <f>(V5-V7)/(2*$B$2)</f>
        <v>5</v>
      </c>
      <c r="W34" s="7"/>
    </row>
    <row r="35" spans="6:23">
      <c r="G35" s="13">
        <f t="shared" si="69"/>
        <v>1.5999999999999999</v>
      </c>
      <c r="H35" s="20">
        <f t="shared" ref="H35:H37" si="73">(H6-H8)/(2*$B$2)</f>
        <v>10</v>
      </c>
      <c r="I35" s="13">
        <f t="shared" ref="I35:V35" si="74">(I6-I8)/(2*$B$2)</f>
        <v>9.9392563319613316</v>
      </c>
      <c r="J35" s="13">
        <f t="shared" si="74"/>
        <v>9.8455837885621111</v>
      </c>
      <c r="K35" s="13">
        <f t="shared" si="74"/>
        <v>9.6657073631966952</v>
      </c>
      <c r="L35" s="13">
        <f t="shared" si="74"/>
        <v>9.302614729263702</v>
      </c>
      <c r="M35" s="13">
        <f t="shared" ref="M35:N35" si="75">(M6-M8)/(2*$B$2)</f>
        <v>8.6341240655568932</v>
      </c>
      <c r="N35" s="13">
        <f t="shared" si="75"/>
        <v>7.9205742186606187</v>
      </c>
      <c r="O35" s="13">
        <f t="shared" si="74"/>
        <v>7.2789194675120061</v>
      </c>
      <c r="P35" s="13">
        <f t="shared" si="74"/>
        <v>6.7387050067125775</v>
      </c>
      <c r="Q35" s="13">
        <f t="shared" si="74"/>
        <v>6.2964790765587404</v>
      </c>
      <c r="R35" s="13">
        <f t="shared" si="74"/>
        <v>5.9381597720392154</v>
      </c>
      <c r="S35" s="13">
        <f t="shared" si="74"/>
        <v>5.6466237550323646</v>
      </c>
      <c r="T35" s="13">
        <f t="shared" si="74"/>
        <v>5.4043224043200055</v>
      </c>
      <c r="U35" s="13">
        <f t="shared" si="74"/>
        <v>5.1942242591918593</v>
      </c>
      <c r="V35" s="21">
        <f t="shared" si="74"/>
        <v>5</v>
      </c>
      <c r="W35" s="7"/>
    </row>
    <row r="36" spans="6:23">
      <c r="G36" s="13">
        <f t="shared" si="69"/>
        <v>1.4</v>
      </c>
      <c r="H36" s="20">
        <f t="shared" si="73"/>
        <v>10</v>
      </c>
      <c r="I36" s="13">
        <f t="shared" ref="I36:V36" si="76">(I7-I9)/(2*$B$2)</f>
        <v>10.032717648580549</v>
      </c>
      <c r="J36" s="13">
        <f t="shared" si="76"/>
        <v>10.060008960375914</v>
      </c>
      <c r="K36" s="13">
        <f t="shared" si="76"/>
        <v>10.045147766411173</v>
      </c>
      <c r="L36" s="13">
        <f t="shared" si="76"/>
        <v>9.8253995344066567</v>
      </c>
      <c r="M36" s="13">
        <f t="shared" si="76"/>
        <v>8.7684073456522338</v>
      </c>
      <c r="N36" s="13">
        <f t="shared" ref="N36:O36" si="77">(N7-N9)/(2*$B$2)</f>
        <v>7.8245705161399082</v>
      </c>
      <c r="O36" s="13">
        <f t="shared" si="77"/>
        <v>7.0916877619058782</v>
      </c>
      <c r="P36" s="13">
        <f t="shared" si="76"/>
        <v>6.5334344893306495</v>
      </c>
      <c r="Q36" s="13">
        <f t="shared" si="76"/>
        <v>6.1075684232155387</v>
      </c>
      <c r="R36" s="13">
        <f t="shared" si="76"/>
        <v>5.7810375960991118</v>
      </c>
      <c r="S36" s="13">
        <f t="shared" si="76"/>
        <v>5.5275166341884496</v>
      </c>
      <c r="T36" s="13">
        <f t="shared" si="76"/>
        <v>5.3250363945572454</v>
      </c>
      <c r="U36" s="13">
        <f t="shared" si="76"/>
        <v>5.1547532930180058</v>
      </c>
      <c r="V36" s="21">
        <f t="shared" si="76"/>
        <v>5</v>
      </c>
      <c r="W36" s="7"/>
    </row>
    <row r="37" spans="6:23">
      <c r="G37" s="13">
        <f t="shared" si="69"/>
        <v>1.2</v>
      </c>
      <c r="H37" s="20">
        <f t="shared" si="73"/>
        <v>10</v>
      </c>
      <c r="I37" s="13">
        <f t="shared" ref="I37:V37" si="78">(I8-I10)/(2*$B$2)</f>
        <v>10.131605301994385</v>
      </c>
      <c r="J37" s="13">
        <f t="shared" si="78"/>
        <v>10.316586637968207</v>
      </c>
      <c r="K37" s="13">
        <f t="shared" si="78"/>
        <v>10.62947520769276</v>
      </c>
      <c r="L37" s="22">
        <f t="shared" si="78"/>
        <v>11.185428296324647</v>
      </c>
      <c r="M37" s="13">
        <f t="shared" si="78"/>
        <v>8.7895352664902102</v>
      </c>
      <c r="N37" s="13">
        <f t="shared" ref="N37:O37" si="79">(N8-N10)/(2*$B$2)</f>
        <v>7.5176127382736544</v>
      </c>
      <c r="O37" s="13">
        <f t="shared" si="79"/>
        <v>6.7298265745169426</v>
      </c>
      <c r="P37" s="13">
        <f t="shared" si="78"/>
        <v>6.195776765326741</v>
      </c>
      <c r="Q37" s="13">
        <f t="shared" ref="Q37:T42" si="80">(Q8-Q10)/(2*$B$2)</f>
        <v>5.8193225306800516</v>
      </c>
      <c r="R37" s="13">
        <f t="shared" si="80"/>
        <v>5.5509055547641912</v>
      </c>
      <c r="S37" s="13">
        <f t="shared" si="80"/>
        <v>5.3573687908908818</v>
      </c>
      <c r="T37" s="13">
        <f t="shared" si="80"/>
        <v>5.2135532465770158</v>
      </c>
      <c r="U37" s="13">
        <f t="shared" si="78"/>
        <v>5.0997525182533794</v>
      </c>
      <c r="V37" s="21">
        <f t="shared" si="78"/>
        <v>5</v>
      </c>
      <c r="W37" s="7"/>
    </row>
    <row r="38" spans="6:23">
      <c r="G38" s="13">
        <f t="shared" si="69"/>
        <v>1</v>
      </c>
      <c r="H38" s="17">
        <f>(H9-H10)/($B$2)</f>
        <v>10</v>
      </c>
      <c r="I38" s="17">
        <f t="shared" ref="I38:U43" si="81">(I9-I10)/($B$2)</f>
        <v>10.177116921455967</v>
      </c>
      <c r="J38" s="17">
        <f t="shared" si="81"/>
        <v>10.445257081871008</v>
      </c>
      <c r="K38" s="23">
        <f t="shared" si="81"/>
        <v>10.970738130168124</v>
      </c>
      <c r="L38" s="18">
        <f t="shared" si="81"/>
        <v>12.178745023557456</v>
      </c>
      <c r="M38" s="24">
        <f t="shared" ref="M38" si="82">(M9-M11)/(2*$B$2)</f>
        <v>7.6866926858246192</v>
      </c>
      <c r="N38" s="13">
        <f>(N9-N11)/(2*$B$2)</f>
        <v>6.7265185960175105</v>
      </c>
      <c r="O38" s="13">
        <f t="shared" ref="O38:P38" si="83">(O9-O11)/(2*$B$2)</f>
        <v>6.1142290325823785</v>
      </c>
      <c r="P38" s="13">
        <f t="shared" si="83"/>
        <v>5.7005234667585025</v>
      </c>
      <c r="Q38" s="13">
        <f t="shared" si="80"/>
        <v>5.4230393793637051</v>
      </c>
      <c r="R38" s="13">
        <f t="shared" si="80"/>
        <v>5.2458933013187625</v>
      </c>
      <c r="S38" s="13">
        <f t="shared" si="80"/>
        <v>5.1374997279681711</v>
      </c>
      <c r="T38" s="13">
        <f t="shared" si="80"/>
        <v>5.0720552825523217</v>
      </c>
      <c r="U38" s="13">
        <f t="shared" ref="U38:V38" si="84">(U9-U11)/(2*$B$2)</f>
        <v>5.0307035333896692</v>
      </c>
      <c r="V38" s="21">
        <f t="shared" si="84"/>
        <v>5</v>
      </c>
      <c r="W38" s="7"/>
    </row>
    <row r="39" spans="6:23">
      <c r="G39" s="13">
        <f t="shared" si="69"/>
        <v>0.8</v>
      </c>
      <c r="H39" s="12"/>
      <c r="I39" s="12"/>
      <c r="J39" s="12"/>
      <c r="K39" s="12"/>
      <c r="L39" s="25"/>
      <c r="M39" s="18">
        <f t="shared" si="81"/>
        <v>6.6371163066359129</v>
      </c>
      <c r="N39" s="13">
        <f t="shared" ref="N39" si="85">(N10-N12)/(2*$B$2)</f>
        <v>5.5875399275763442</v>
      </c>
      <c r="O39" s="13">
        <f t="shared" ref="O39:P39" si="86">(O10-O12)/(2*$B$2)</f>
        <v>5.3000474931933113</v>
      </c>
      <c r="P39" s="13">
        <f t="shared" si="86"/>
        <v>5.0690486898763272</v>
      </c>
      <c r="Q39" s="13">
        <f t="shared" si="80"/>
        <v>4.9264182187836996</v>
      </c>
      <c r="R39" s="13">
        <f t="shared" si="80"/>
        <v>4.8721285432361778</v>
      </c>
      <c r="S39" s="13">
        <f t="shared" si="80"/>
        <v>4.8746815371495122</v>
      </c>
      <c r="T39" s="13">
        <f t="shared" si="80"/>
        <v>4.9064646222967667</v>
      </c>
      <c r="U39" s="13">
        <f t="shared" ref="U39:V39" si="87">(U10-U12)/(2*$B$2)</f>
        <v>4.9510063327637805</v>
      </c>
      <c r="V39" s="21">
        <f t="shared" si="87"/>
        <v>5</v>
      </c>
      <c r="W39" s="7"/>
    </row>
    <row r="40" spans="6:23">
      <c r="G40" s="13">
        <f t="shared" si="69"/>
        <v>0.60000000000000009</v>
      </c>
      <c r="H40" s="12"/>
      <c r="I40" s="12"/>
      <c r="J40" s="12"/>
      <c r="K40" s="12"/>
      <c r="L40" s="12"/>
      <c r="M40" s="25"/>
      <c r="N40" s="18">
        <f t="shared" si="81"/>
        <v>5.0084561252065081</v>
      </c>
      <c r="O40" s="13">
        <f t="shared" ref="O40:P40" si="88">(O11-O13)/(2*$B$2)</f>
        <v>4.4293723229863939</v>
      </c>
      <c r="P40" s="13">
        <f t="shared" si="88"/>
        <v>4.3492055809991994</v>
      </c>
      <c r="Q40" s="13">
        <f t="shared" si="80"/>
        <v>4.3414562628503361</v>
      </c>
      <c r="R40" s="13">
        <f t="shared" si="80"/>
        <v>4.4415211158600112</v>
      </c>
      <c r="S40" s="13">
        <f t="shared" si="80"/>
        <v>4.5826332552244269</v>
      </c>
      <c r="T40" s="13">
        <f t="shared" si="80"/>
        <v>4.7281153368137163</v>
      </c>
      <c r="U40" s="13">
        <f t="shared" ref="U40:V40" si="89">(U11-U13)/(2*$B$2)</f>
        <v>4.8668571754145171</v>
      </c>
      <c r="V40" s="21">
        <f t="shared" si="89"/>
        <v>5</v>
      </c>
      <c r="W40" s="7"/>
    </row>
    <row r="41" spans="6:23">
      <c r="G41" s="13">
        <f t="shared" si="69"/>
        <v>0.4</v>
      </c>
      <c r="H41" s="12"/>
      <c r="I41" s="12"/>
      <c r="J41" s="12"/>
      <c r="K41" s="12"/>
      <c r="L41" s="12"/>
      <c r="M41" s="12"/>
      <c r="N41" s="25"/>
      <c r="O41" s="18">
        <f t="shared" si="81"/>
        <v>3.9931586856986216</v>
      </c>
      <c r="P41" s="13">
        <f t="shared" ref="P41" si="90">(P12-P14)/(2*$B$2)</f>
        <v>3.5569450485645775</v>
      </c>
      <c r="Q41" s="13">
        <f t="shared" si="80"/>
        <v>3.6486801360274344</v>
      </c>
      <c r="R41" s="13">
        <f t="shared" si="80"/>
        <v>3.9698664023621624</v>
      </c>
      <c r="S41" s="13">
        <f t="shared" si="80"/>
        <v>4.2862150312760905</v>
      </c>
      <c r="T41" s="13">
        <f t="shared" si="80"/>
        <v>4.5565062944596901</v>
      </c>
      <c r="U41" s="13">
        <f t="shared" ref="U41:V41" si="91">(U12-U14)/(2*$B$2)</f>
        <v>4.7883070321571992</v>
      </c>
      <c r="V41" s="21">
        <f t="shared" si="91"/>
        <v>5</v>
      </c>
      <c r="W41" s="7"/>
    </row>
    <row r="42" spans="6:23">
      <c r="G42" s="13">
        <f>G43+B$2</f>
        <v>0.2</v>
      </c>
      <c r="H42" s="12"/>
      <c r="I42" s="12"/>
      <c r="J42" s="12"/>
      <c r="K42" s="12"/>
      <c r="L42" s="12"/>
      <c r="M42" s="12"/>
      <c r="N42" s="12"/>
      <c r="O42" s="25"/>
      <c r="P42" s="18">
        <f t="shared" si="81"/>
        <v>3.1416989395181103</v>
      </c>
      <c r="Q42" s="13">
        <f t="shared" si="80"/>
        <v>2.7264528306072666</v>
      </c>
      <c r="R42" s="13">
        <f t="shared" si="80"/>
        <v>3.5030493265610789</v>
      </c>
      <c r="S42" s="13">
        <f t="shared" si="80"/>
        <v>4.0358541732916979</v>
      </c>
      <c r="T42" s="13">
        <f t="shared" si="80"/>
        <v>4.4233877777722839</v>
      </c>
      <c r="U42" s="13">
        <f t="shared" ref="U42:V42" si="92">(U13-U15)/(2*$B$2)</f>
        <v>4.7298646588474709</v>
      </c>
      <c r="V42" s="21">
        <f t="shared" si="92"/>
        <v>5</v>
      </c>
      <c r="W42" s="7"/>
    </row>
    <row r="43" spans="6:23">
      <c r="G43" s="13">
        <v>0</v>
      </c>
      <c r="H43" s="12"/>
      <c r="I43" s="12"/>
      <c r="J43" s="12"/>
      <c r="K43" s="12"/>
      <c r="L43" s="12"/>
      <c r="M43" s="12"/>
      <c r="N43" s="12"/>
      <c r="O43" s="12"/>
      <c r="P43" s="25"/>
      <c r="Q43" s="18">
        <f t="shared" si="81"/>
        <v>2.1832323903183659</v>
      </c>
      <c r="R43" s="17">
        <f t="shared" si="81"/>
        <v>3.2800239002475138</v>
      </c>
      <c r="S43" s="17">
        <f t="shared" si="81"/>
        <v>3.9307645578152464</v>
      </c>
      <c r="T43" s="17">
        <f t="shared" si="81"/>
        <v>4.3713259846811114</v>
      </c>
      <c r="U43" s="17">
        <f t="shared" si="81"/>
        <v>4.7077638255674348</v>
      </c>
      <c r="V43" s="18">
        <f>(V14-V15)/($B$2)</f>
        <v>5</v>
      </c>
      <c r="W43" s="7"/>
    </row>
    <row r="44" spans="6:23">
      <c r="G44" s="12"/>
      <c r="H44" s="13">
        <v>0</v>
      </c>
      <c r="I44" s="13">
        <f>H44+$B$2</f>
        <v>0.2</v>
      </c>
      <c r="J44" s="13">
        <f t="shared" ref="J44:V44" si="93">I44+$B$2</f>
        <v>0.4</v>
      </c>
      <c r="K44" s="13">
        <f t="shared" si="93"/>
        <v>0.60000000000000009</v>
      </c>
      <c r="L44" s="13">
        <f t="shared" si="93"/>
        <v>0.8</v>
      </c>
      <c r="M44" s="13">
        <f t="shared" si="93"/>
        <v>1</v>
      </c>
      <c r="N44" s="13">
        <f t="shared" si="93"/>
        <v>1.2</v>
      </c>
      <c r="O44" s="13">
        <f t="shared" si="93"/>
        <v>1.4</v>
      </c>
      <c r="P44" s="13">
        <f t="shared" si="93"/>
        <v>1.5999999999999999</v>
      </c>
      <c r="Q44" s="13">
        <f t="shared" si="93"/>
        <v>1.7999999999999998</v>
      </c>
      <c r="R44" s="13">
        <f t="shared" si="93"/>
        <v>1.9999999999999998</v>
      </c>
      <c r="S44" s="13">
        <f t="shared" si="93"/>
        <v>2.1999999999999997</v>
      </c>
      <c r="T44" s="13">
        <f t="shared" si="93"/>
        <v>2.4</v>
      </c>
      <c r="U44" s="13">
        <f t="shared" si="93"/>
        <v>2.6</v>
      </c>
      <c r="V44" s="13">
        <f t="shared" si="93"/>
        <v>2.8000000000000003</v>
      </c>
      <c r="W44" s="7"/>
    </row>
    <row r="45" spans="6:23"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</row>
    <row r="46" spans="6:23">
      <c r="F46" s="3" t="s">
        <v>11</v>
      </c>
      <c r="G46" s="12"/>
      <c r="H46" s="29">
        <v>1</v>
      </c>
      <c r="I46" s="29">
        <v>2</v>
      </c>
      <c r="J46" s="29">
        <v>3</v>
      </c>
      <c r="K46" s="29">
        <v>4</v>
      </c>
      <c r="L46" s="29">
        <v>5</v>
      </c>
      <c r="M46" s="29">
        <v>6</v>
      </c>
      <c r="N46" s="29">
        <v>7</v>
      </c>
      <c r="O46" s="29">
        <v>8</v>
      </c>
      <c r="P46" s="29">
        <v>9</v>
      </c>
      <c r="Q46" s="29">
        <v>10</v>
      </c>
      <c r="R46" s="29">
        <v>11</v>
      </c>
      <c r="S46" s="29">
        <v>12</v>
      </c>
      <c r="T46" s="29">
        <v>13</v>
      </c>
      <c r="U46" s="29">
        <v>14</v>
      </c>
      <c r="V46" s="29">
        <v>15</v>
      </c>
    </row>
    <row r="47" spans="6:23">
      <c r="G47" s="13">
        <f t="shared" ref="G47:G55" si="94">G48+B$2</f>
        <v>1.9999999999999998</v>
      </c>
      <c r="H47" s="17">
        <f>(H5-I5)/$B$2</f>
        <v>0</v>
      </c>
      <c r="I47" s="17">
        <f>(I5-K5)/$B$2</f>
        <v>0</v>
      </c>
      <c r="J47" s="17">
        <f t="shared" ref="J47:T47" si="95">(J5-L5)/$B$2</f>
        <v>0</v>
      </c>
      <c r="K47" s="17">
        <f t="shared" si="95"/>
        <v>0</v>
      </c>
      <c r="L47" s="17">
        <f t="shared" si="95"/>
        <v>0</v>
      </c>
      <c r="M47" s="17">
        <f t="shared" si="95"/>
        <v>0</v>
      </c>
      <c r="N47" s="17">
        <f t="shared" si="95"/>
        <v>0</v>
      </c>
      <c r="O47" s="17">
        <f t="shared" si="95"/>
        <v>0</v>
      </c>
      <c r="P47" s="17">
        <f t="shared" si="95"/>
        <v>0</v>
      </c>
      <c r="Q47" s="17">
        <f t="shared" si="95"/>
        <v>0</v>
      </c>
      <c r="R47" s="17">
        <f t="shared" si="95"/>
        <v>0</v>
      </c>
      <c r="S47" s="17">
        <f t="shared" si="95"/>
        <v>0</v>
      </c>
      <c r="T47" s="17">
        <f t="shared" si="95"/>
        <v>0</v>
      </c>
      <c r="U47" s="17">
        <f>(U5-V5)/$B$2</f>
        <v>0</v>
      </c>
      <c r="V47" s="17">
        <f>(V5-U5)/$B$2</f>
        <v>0</v>
      </c>
    </row>
    <row r="48" spans="6:23">
      <c r="G48" s="13">
        <f t="shared" si="94"/>
        <v>1.7999999999999998</v>
      </c>
      <c r="H48" s="20">
        <f t="shared" ref="H48:K52" si="96">(H6-I6)/$B$2</f>
        <v>-0.14172326791143774</v>
      </c>
      <c r="I48" s="13">
        <f>(H6-J6)/(2*$B$2)</f>
        <v>-0.16217042653031921</v>
      </c>
      <c r="J48" s="13">
        <f t="shared" ref="J48:U48" si="97">(I6-K6)/(2*$B$2)</f>
        <v>-0.22432093693373734</v>
      </c>
      <c r="K48" s="13">
        <f t="shared" si="97"/>
        <v>-0.32587259905803023</v>
      </c>
      <c r="L48" s="13">
        <f t="shared" si="97"/>
        <v>-0.44703491447560584</v>
      </c>
      <c r="M48" s="13">
        <f t="shared" si="97"/>
        <v>-0.53768385892226878</v>
      </c>
      <c r="N48" s="13">
        <f t="shared" si="97"/>
        <v>-0.56315539270650916</v>
      </c>
      <c r="O48" s="13">
        <f t="shared" si="97"/>
        <v>-0.53474862596960548</v>
      </c>
      <c r="P48" s="13">
        <f t="shared" si="97"/>
        <v>-0.47714327913753962</v>
      </c>
      <c r="Q48" s="13">
        <f t="shared" si="97"/>
        <v>-0.41059671204528136</v>
      </c>
      <c r="R48" s="13">
        <f t="shared" si="97"/>
        <v>-0.34775523604736236</v>
      </c>
      <c r="S48" s="13">
        <f t="shared" si="97"/>
        <v>-0.29543733746852929</v>
      </c>
      <c r="T48" s="13">
        <f t="shared" si="97"/>
        <v>-0.25690066189346439</v>
      </c>
      <c r="U48" s="13">
        <f t="shared" si="97"/>
        <v>-0.23349044000596564</v>
      </c>
      <c r="V48" s="13">
        <f>(U6-V6)/($B$2)</f>
        <v>-0.22565588970012485</v>
      </c>
    </row>
    <row r="49" spans="6:22">
      <c r="G49" s="13">
        <f t="shared" si="94"/>
        <v>1.5999999999999999</v>
      </c>
      <c r="H49" s="20">
        <f t="shared" si="96"/>
        <v>-0.24255221861706922</v>
      </c>
      <c r="I49" s="13">
        <f t="shared" ref="I49:U49" si="98">(H7-J7)/(2*$B$2)</f>
        <v>-0.28263750131142018</v>
      </c>
      <c r="J49" s="13">
        <f t="shared" si="98"/>
        <v>-0.40924072218670116</v>
      </c>
      <c r="K49" s="13">
        <f t="shared" si="98"/>
        <v>-0.6321345448739657</v>
      </c>
      <c r="L49" s="13">
        <f t="shared" si="98"/>
        <v>-0.92458319998161898</v>
      </c>
      <c r="M49" s="13">
        <f t="shared" si="98"/>
        <v>-1.1405451285752877</v>
      </c>
      <c r="N49" s="13">
        <f t="shared" si="98"/>
        <v>-1.1801890859977959</v>
      </c>
      <c r="O49" s="13">
        <f t="shared" si="98"/>
        <v>-1.0986958320867335</v>
      </c>
      <c r="P49" s="13">
        <f t="shared" si="98"/>
        <v>-0.96322777856219677</v>
      </c>
      <c r="Q49" s="13">
        <f t="shared" si="98"/>
        <v>-0.81748833299155832</v>
      </c>
      <c r="R49" s="13">
        <f t="shared" si="98"/>
        <v>-0.68498689463589946</v>
      </c>
      <c r="S49" s="13">
        <f t="shared" si="98"/>
        <v>-0.57709345185660288</v>
      </c>
      <c r="T49" s="13">
        <f t="shared" si="98"/>
        <v>-0.4986748699969179</v>
      </c>
      <c r="U49" s="13">
        <f t="shared" si="98"/>
        <v>-0.45140520830443176</v>
      </c>
      <c r="V49" s="13">
        <f t="shared" ref="V49:V57" si="99">(U7-V7)/($B$2)</f>
        <v>-0.43564267866067041</v>
      </c>
    </row>
    <row r="50" spans="6:22">
      <c r="G50" s="13">
        <f t="shared" si="94"/>
        <v>1.4</v>
      </c>
      <c r="H50" s="20">
        <f t="shared" si="96"/>
        <v>-0.26321060398877272</v>
      </c>
      <c r="I50" s="13">
        <f t="shared" ref="I50:U50" si="100">(H8-J8)/(2*$B$2)</f>
        <v>-0.31658663796820807</v>
      </c>
      <c r="J50" s="13">
        <f t="shared" si="100"/>
        <v>-0.49786990569837375</v>
      </c>
      <c r="K50" s="13">
        <f t="shared" si="100"/>
        <v>-0.86884165835643845</v>
      </c>
      <c r="L50" s="13">
        <f t="shared" si="100"/>
        <v>-1.4786182121154079</v>
      </c>
      <c r="M50" s="13">
        <f t="shared" si="100"/>
        <v>-1.919724369525353</v>
      </c>
      <c r="N50" s="13">
        <f t="shared" si="100"/>
        <v>-1.9183599907513971</v>
      </c>
      <c r="O50" s="13">
        <f t="shared" si="100"/>
        <v>-1.7166178379176467</v>
      </c>
      <c r="P50" s="13">
        <f t="shared" si="100"/>
        <v>-1.4595836700908049</v>
      </c>
      <c r="Q50" s="13">
        <f t="shared" si="100"/>
        <v>-1.2111419467186435</v>
      </c>
      <c r="R50" s="13">
        <f t="shared" si="100"/>
        <v>-0.99761055757373818</v>
      </c>
      <c r="S50" s="13">
        <f t="shared" si="100"/>
        <v>-0.82927470518773916</v>
      </c>
      <c r="T50" s="13">
        <f t="shared" si="100"/>
        <v>-0.70930015773396971</v>
      </c>
      <c r="U50" s="13">
        <f t="shared" si="100"/>
        <v>-0.63781284432597118</v>
      </c>
      <c r="V50" s="13">
        <f t="shared" si="99"/>
        <v>-0.61410440808384426</v>
      </c>
    </row>
    <row r="51" spans="6:22">
      <c r="G51" s="13">
        <f t="shared" si="94"/>
        <v>1.2</v>
      </c>
      <c r="H51" s="20">
        <f t="shared" si="96"/>
        <v>-0.17711692145596869</v>
      </c>
      <c r="I51" s="13">
        <f t="shared" ref="I51:U52" si="101">(H9-J9)/(2*$B$2)</f>
        <v>-0.22262854093550444</v>
      </c>
      <c r="J51" s="13">
        <f t="shared" si="101"/>
        <v>-0.39681060435607818</v>
      </c>
      <c r="K51" s="13">
        <f t="shared" si="101"/>
        <v>-0.86674397084322341</v>
      </c>
      <c r="L51" s="13">
        <f t="shared" si="101"/>
        <v>-2.2013236207405571</v>
      </c>
      <c r="M51" s="13">
        <f t="shared" si="101"/>
        <v>-3.1413741468420375</v>
      </c>
      <c r="N51" s="13">
        <f t="shared" si="101"/>
        <v>-2.8569086697441524</v>
      </c>
      <c r="O51" s="13">
        <f t="shared" si="101"/>
        <v>-2.3898318588959921</v>
      </c>
      <c r="P51" s="13">
        <f t="shared" si="101"/>
        <v>-1.9473471172525358</v>
      </c>
      <c r="Q51" s="13">
        <f t="shared" si="101"/>
        <v>-1.5698852262230956</v>
      </c>
      <c r="R51" s="13">
        <f t="shared" si="101"/>
        <v>-1.265038683662989</v>
      </c>
      <c r="S51" s="13">
        <f t="shared" si="101"/>
        <v>-1.0330946533984697</v>
      </c>
      <c r="T51" s="13">
        <f t="shared" si="101"/>
        <v>-0.87143821116736131</v>
      </c>
      <c r="U51" s="13">
        <f t="shared" si="101"/>
        <v>-0.77644160286167718</v>
      </c>
      <c r="V51" s="13">
        <f t="shared" si="99"/>
        <v>-0.74514926469668286</v>
      </c>
    </row>
    <row r="52" spans="6:22">
      <c r="G52" s="13">
        <f t="shared" si="94"/>
        <v>1</v>
      </c>
      <c r="H52" s="17">
        <f t="shared" si="96"/>
        <v>0</v>
      </c>
      <c r="I52" s="17">
        <f t="shared" si="96"/>
        <v>0</v>
      </c>
      <c r="J52" s="17">
        <f t="shared" si="96"/>
        <v>0</v>
      </c>
      <c r="K52" s="17">
        <f t="shared" si="96"/>
        <v>0</v>
      </c>
      <c r="L52" s="17">
        <f>(L10-M10)/(2*$B$2)</f>
        <v>-3.3185581533179564</v>
      </c>
      <c r="M52" s="13">
        <f t="shared" si="101"/>
        <v>-5.5875399275763442</v>
      </c>
      <c r="N52" s="13">
        <f t="shared" ref="N52:U52" si="102">(M10-O10)/(2*$B$2)</f>
        <v>-3.9780686827246656</v>
      </c>
      <c r="O52" s="13">
        <f t="shared" si="102"/>
        <v>-3.0384538108645596</v>
      </c>
      <c r="P52" s="13">
        <f t="shared" si="102"/>
        <v>-2.3700877139276955</v>
      </c>
      <c r="Q52" s="13">
        <f t="shared" si="102"/>
        <v>-1.8560131572811933</v>
      </c>
      <c r="R52" s="13">
        <f t="shared" si="102"/>
        <v>-1.4595642973629086</v>
      </c>
      <c r="S52" s="13">
        <f t="shared" si="102"/>
        <v>-1.1666270133749146</v>
      </c>
      <c r="T52" s="13">
        <f t="shared" si="102"/>
        <v>-0.96691643037147168</v>
      </c>
      <c r="U52" s="13">
        <f t="shared" si="102"/>
        <v>-0.85136609090298743</v>
      </c>
      <c r="V52" s="13">
        <f t="shared" si="99"/>
        <v>-0.81360944459060391</v>
      </c>
    </row>
    <row r="53" spans="6:22">
      <c r="G53" s="13">
        <f t="shared" si="94"/>
        <v>0.8</v>
      </c>
      <c r="H53" s="12"/>
      <c r="I53" s="12"/>
      <c r="J53" s="12"/>
      <c r="K53" s="12"/>
      <c r="L53" s="25"/>
      <c r="M53" s="18">
        <f>(M11-N11)/($B$2)</f>
        <v>-5.0084561252065081</v>
      </c>
      <c r="N53" s="13">
        <f t="shared" ref="N53:U53" si="103">(M11-O11)/(2*$B$2)</f>
        <v>-4.4293723229863939</v>
      </c>
      <c r="O53" s="13">
        <f t="shared" si="103"/>
        <v>-3.4158269881550005</v>
      </c>
      <c r="P53" s="13">
        <f t="shared" si="103"/>
        <v>-2.6385367704712084</v>
      </c>
      <c r="Q53" s="13">
        <f t="shared" si="103"/>
        <v>-2.0245153916628356</v>
      </c>
      <c r="R53" s="13">
        <f t="shared" si="103"/>
        <v>-1.5505783350585234</v>
      </c>
      <c r="S53" s="13">
        <f t="shared" si="103"/>
        <v>-1.2069326721649098</v>
      </c>
      <c r="T53" s="13">
        <f t="shared" si="103"/>
        <v>-0.97823440574586251</v>
      </c>
      <c r="U53" s="13">
        <f t="shared" si="103"/>
        <v>-0.84849688541399959</v>
      </c>
      <c r="V53" s="13">
        <f t="shared" si="99"/>
        <v>-0.80655633147602268</v>
      </c>
    </row>
    <row r="54" spans="6:22">
      <c r="G54" s="13">
        <f t="shared" si="94"/>
        <v>0.60000000000000009</v>
      </c>
      <c r="H54" s="12"/>
      <c r="I54" s="12"/>
      <c r="J54" s="12"/>
      <c r="K54" s="12"/>
      <c r="L54" s="12"/>
      <c r="M54" s="26"/>
      <c r="N54" s="18">
        <f>(N12-O12)/($B$2)</f>
        <v>-3.9931586856986216</v>
      </c>
      <c r="O54" s="13">
        <f t="shared" ref="O54:U54" si="104">(N12-P12)/(2*$B$2)</f>
        <v>-3.5569450485645775</v>
      </c>
      <c r="P54" s="13">
        <f t="shared" si="104"/>
        <v>-2.7437169883373067</v>
      </c>
      <c r="Q54" s="13">
        <f t="shared" si="104"/>
        <v>-2.0529333039213418</v>
      </c>
      <c r="R54" s="13">
        <f t="shared" si="104"/>
        <v>-1.5113009789970966</v>
      </c>
      <c r="S54" s="13">
        <f t="shared" si="104"/>
        <v>-1.1322909343143261</v>
      </c>
      <c r="T54" s="13">
        <f t="shared" si="104"/>
        <v>-0.89059163475720293</v>
      </c>
      <c r="U54" s="13">
        <f t="shared" si="104"/>
        <v>-0.75783071319975415</v>
      </c>
      <c r="V54" s="13">
        <f t="shared" si="99"/>
        <v>-0.7156221101181659</v>
      </c>
    </row>
    <row r="55" spans="6:22">
      <c r="G55" s="13">
        <f t="shared" si="94"/>
        <v>0.4</v>
      </c>
      <c r="H55" s="12"/>
      <c r="I55" s="12"/>
      <c r="J55" s="12"/>
      <c r="K55" s="12"/>
      <c r="L55" s="12"/>
      <c r="M55" s="12"/>
      <c r="N55" s="26"/>
      <c r="O55" s="18">
        <f>(O13-P13)/($B$2)</f>
        <v>-3.1416989395181103</v>
      </c>
      <c r="P55" s="22">
        <f t="shared" ref="P55:U55" si="105">(O13-Q13)/(2*$B$2)</f>
        <v>-2.7264528306072666</v>
      </c>
      <c r="Q55" s="13">
        <f t="shared" si="105"/>
        <v>-1.9321998568020238</v>
      </c>
      <c r="R55" s="13">
        <f t="shared" si="105"/>
        <v>-1.309401342684432</v>
      </c>
      <c r="S55" s="13">
        <f t="shared" si="105"/>
        <v>-0.92033845121120506</v>
      </c>
      <c r="T55" s="13">
        <f t="shared" si="105"/>
        <v>-0.69401048555577272</v>
      </c>
      <c r="U55" s="13">
        <f t="shared" si="105"/>
        <v>-0.57661222222771591</v>
      </c>
      <c r="V55" s="13">
        <f t="shared" si="99"/>
        <v>-0.54027068230505737</v>
      </c>
    </row>
    <row r="56" spans="6:22">
      <c r="G56" s="13">
        <f>G57+B$2</f>
        <v>0.2</v>
      </c>
      <c r="H56" s="12"/>
      <c r="I56" s="12"/>
      <c r="J56" s="12"/>
      <c r="K56" s="12"/>
      <c r="L56" s="12"/>
      <c r="M56" s="12"/>
      <c r="N56" s="12"/>
      <c r="O56" s="26"/>
      <c r="P56" s="18">
        <f>(P14-Q14)/($B$2)</f>
        <v>-2.1832323903183659</v>
      </c>
      <c r="Q56" s="27">
        <f t="shared" ref="Q56:U56" si="106">(P14-R14)/(2*$B$2)</f>
        <v>-1.6400119501237569</v>
      </c>
      <c r="R56" s="13">
        <f t="shared" si="106"/>
        <v>-0.87376608374844023</v>
      </c>
      <c r="S56" s="13">
        <f t="shared" si="106"/>
        <v>-0.54565104221679894</v>
      </c>
      <c r="T56" s="13">
        <f t="shared" si="106"/>
        <v>-0.38849963387609404</v>
      </c>
      <c r="U56" s="13">
        <f t="shared" si="106"/>
        <v>-0.314337007659444</v>
      </c>
      <c r="V56" s="13">
        <f t="shared" si="99"/>
        <v>-0.29223617443256522</v>
      </c>
    </row>
    <row r="57" spans="6:22">
      <c r="G57" s="13">
        <v>0</v>
      </c>
      <c r="H57" s="12"/>
      <c r="I57" s="12"/>
      <c r="J57" s="12"/>
      <c r="K57" s="12"/>
      <c r="L57" s="12"/>
      <c r="M57" s="12"/>
      <c r="N57" s="12"/>
      <c r="O57" s="12"/>
      <c r="P57" s="25"/>
      <c r="Q57" s="18">
        <f>(Q15-R15)/($B$2)</f>
        <v>0</v>
      </c>
      <c r="R57" s="17">
        <f t="shared" ref="R57:U57" si="107">(R15-S15)/($B$2)</f>
        <v>0</v>
      </c>
      <c r="S57" s="18">
        <f t="shared" si="107"/>
        <v>0</v>
      </c>
      <c r="T57" s="18">
        <f t="shared" si="107"/>
        <v>0</v>
      </c>
      <c r="U57" s="18">
        <f t="shared" si="107"/>
        <v>0</v>
      </c>
      <c r="V57" s="18">
        <f t="shared" si="99"/>
        <v>0</v>
      </c>
    </row>
    <row r="58" spans="6:22">
      <c r="G58" s="12"/>
      <c r="H58" s="13">
        <v>0</v>
      </c>
      <c r="I58" s="13">
        <f>H58+$B$2</f>
        <v>0.2</v>
      </c>
      <c r="J58" s="13">
        <f t="shared" ref="J58:V58" si="108">I58+$B$2</f>
        <v>0.4</v>
      </c>
      <c r="K58" s="13">
        <f t="shared" si="108"/>
        <v>0.60000000000000009</v>
      </c>
      <c r="L58" s="13">
        <f t="shared" si="108"/>
        <v>0.8</v>
      </c>
      <c r="M58" s="13">
        <f t="shared" si="108"/>
        <v>1</v>
      </c>
      <c r="N58" s="13">
        <f t="shared" si="108"/>
        <v>1.2</v>
      </c>
      <c r="O58" s="28">
        <f t="shared" si="108"/>
        <v>1.4</v>
      </c>
      <c r="P58" s="13">
        <f t="shared" si="108"/>
        <v>1.5999999999999999</v>
      </c>
      <c r="Q58" s="13">
        <f t="shared" si="108"/>
        <v>1.7999999999999998</v>
      </c>
      <c r="R58" s="13">
        <f t="shared" si="108"/>
        <v>1.9999999999999998</v>
      </c>
      <c r="S58" s="13">
        <f t="shared" si="108"/>
        <v>2.1999999999999997</v>
      </c>
      <c r="T58" s="13">
        <f t="shared" si="108"/>
        <v>2.4</v>
      </c>
      <c r="U58" s="13">
        <f t="shared" si="108"/>
        <v>2.6</v>
      </c>
      <c r="V58" s="13">
        <f t="shared" si="108"/>
        <v>2.8000000000000003</v>
      </c>
    </row>
    <row r="59" spans="6:22"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6:22">
      <c r="F60" t="s">
        <v>12</v>
      </c>
      <c r="G60" s="12"/>
      <c r="H60" s="13">
        <v>1</v>
      </c>
      <c r="I60" s="13">
        <v>2</v>
      </c>
      <c r="J60" s="13">
        <v>3</v>
      </c>
      <c r="K60" s="13">
        <v>4</v>
      </c>
      <c r="L60" s="13">
        <v>5</v>
      </c>
      <c r="M60" s="13">
        <v>6</v>
      </c>
      <c r="N60" s="13">
        <v>7</v>
      </c>
      <c r="O60" s="13">
        <v>8</v>
      </c>
      <c r="P60" s="13">
        <v>9</v>
      </c>
      <c r="Q60" s="13">
        <v>10</v>
      </c>
      <c r="R60" s="13">
        <v>11</v>
      </c>
      <c r="S60" s="13">
        <v>12</v>
      </c>
      <c r="T60" s="13">
        <v>13</v>
      </c>
      <c r="U60" s="13">
        <v>14</v>
      </c>
      <c r="V60" s="13">
        <v>15</v>
      </c>
    </row>
    <row r="61" spans="6:22">
      <c r="G61" s="13">
        <f t="shared" ref="G61:G69" si="109">G62+B$2</f>
        <v>1.9999999999999998</v>
      </c>
      <c r="H61" s="17">
        <f>(H33^2+H47^2)^0.5</f>
        <v>10</v>
      </c>
      <c r="I61" s="17">
        <f t="shared" ref="I61:V61" si="110">(I33^2+I47^2)^0.5</f>
        <v>9.8582767320885623</v>
      </c>
      <c r="J61" s="17">
        <f t="shared" si="110"/>
        <v>9.6756591469393616</v>
      </c>
      <c r="K61" s="17">
        <f t="shared" si="110"/>
        <v>9.4096348582210876</v>
      </c>
      <c r="L61" s="17">
        <f t="shared" si="110"/>
        <v>9.0239139488233011</v>
      </c>
      <c r="M61" s="17">
        <f t="shared" si="110"/>
        <v>8.5155650292698759</v>
      </c>
      <c r="N61" s="17">
        <f t="shared" si="110"/>
        <v>7.9485462309787636</v>
      </c>
      <c r="O61" s="17">
        <f t="shared" si="110"/>
        <v>7.3892542438568576</v>
      </c>
      <c r="P61" s="17">
        <f t="shared" si="110"/>
        <v>6.8790489790395526</v>
      </c>
      <c r="Q61" s="17">
        <f t="shared" si="110"/>
        <v>6.4349676855817783</v>
      </c>
      <c r="R61" s="17">
        <f t="shared" si="110"/>
        <v>6.0578555549489899</v>
      </c>
      <c r="S61" s="17">
        <f t="shared" si="110"/>
        <v>5.7394572134870536</v>
      </c>
      <c r="T61" s="17">
        <f t="shared" si="110"/>
        <v>5.4669808800119313</v>
      </c>
      <c r="U61" s="17">
        <f t="shared" si="110"/>
        <v>5.2256558897001248</v>
      </c>
      <c r="V61" s="17">
        <f t="shared" si="110"/>
        <v>5</v>
      </c>
    </row>
    <row r="62" spans="6:22">
      <c r="G62" s="13">
        <f t="shared" si="109"/>
        <v>1.7999999999999998</v>
      </c>
      <c r="H62" s="17">
        <f t="shared" ref="H62:V62" si="111">(H34^2+H48^2)^0.5</f>
        <v>10.001004223810103</v>
      </c>
      <c r="I62" s="17">
        <f t="shared" si="111"/>
        <v>9.8800549065154151</v>
      </c>
      <c r="J62" s="17">
        <f t="shared" si="111"/>
        <v>9.7199513277416152</v>
      </c>
      <c r="K62" s="17">
        <f t="shared" si="111"/>
        <v>9.4750886238289009</v>
      </c>
      <c r="L62" s="17">
        <f t="shared" si="111"/>
        <v>9.0962193898088604</v>
      </c>
      <c r="M62" s="17">
        <f t="shared" si="111"/>
        <v>8.5618000095898275</v>
      </c>
      <c r="N62" s="17">
        <f t="shared" si="111"/>
        <v>7.9646173285341932</v>
      </c>
      <c r="O62" s="17">
        <f t="shared" si="111"/>
        <v>7.3840993002642978</v>
      </c>
      <c r="P62" s="17">
        <f t="shared" si="111"/>
        <v>6.8625945253410245</v>
      </c>
      <c r="Q62" s="17">
        <f t="shared" si="111"/>
        <v>6.4146376039701662</v>
      </c>
      <c r="R62" s="17">
        <f t="shared" si="111"/>
        <v>6.0385204975856253</v>
      </c>
      <c r="S62" s="17">
        <f t="shared" si="111"/>
        <v>5.7241254468803655</v>
      </c>
      <c r="T62" s="17">
        <f t="shared" si="111"/>
        <v>5.4574551482545406</v>
      </c>
      <c r="U62" s="17">
        <f t="shared" si="111"/>
        <v>5.2230429171839283</v>
      </c>
      <c r="V62" s="17">
        <f t="shared" si="111"/>
        <v>5.0050894677873998</v>
      </c>
    </row>
    <row r="63" spans="6:22">
      <c r="G63" s="13">
        <f t="shared" si="109"/>
        <v>1.5999999999999999</v>
      </c>
      <c r="H63" s="17">
        <f t="shared" ref="H63:V63" si="112">(H35^2+H49^2)^0.5</f>
        <v>10.002941146420689</v>
      </c>
      <c r="I63" s="17">
        <f t="shared" si="112"/>
        <v>9.9432741282527743</v>
      </c>
      <c r="J63" s="17">
        <f t="shared" si="112"/>
        <v>9.8540853510761188</v>
      </c>
      <c r="K63" s="17">
        <f t="shared" si="112"/>
        <v>9.6863560183269026</v>
      </c>
      <c r="L63" s="17">
        <f t="shared" si="112"/>
        <v>9.3484487961801577</v>
      </c>
      <c r="M63" s="17">
        <f t="shared" si="112"/>
        <v>8.7091297825756122</v>
      </c>
      <c r="N63" s="17">
        <f t="shared" si="112"/>
        <v>8.0080173721102526</v>
      </c>
      <c r="O63" s="17">
        <f t="shared" si="112"/>
        <v>7.3613722325372208</v>
      </c>
      <c r="P63" s="17">
        <f t="shared" si="112"/>
        <v>6.8071986103599933</v>
      </c>
      <c r="Q63" s="17">
        <f t="shared" si="112"/>
        <v>6.3493256284521529</v>
      </c>
      <c r="R63" s="17">
        <f t="shared" si="112"/>
        <v>5.9775369947903929</v>
      </c>
      <c r="S63" s="17">
        <f t="shared" si="112"/>
        <v>5.6760370579367763</v>
      </c>
      <c r="T63" s="17">
        <f t="shared" si="112"/>
        <v>5.4272808362753455</v>
      </c>
      <c r="U63" s="17">
        <f t="shared" si="112"/>
        <v>5.213802097976254</v>
      </c>
      <c r="V63" s="17">
        <f t="shared" si="112"/>
        <v>5.0189425722427474</v>
      </c>
    </row>
    <row r="64" spans="6:22">
      <c r="G64" s="13">
        <f t="shared" si="109"/>
        <v>1.4</v>
      </c>
      <c r="H64" s="17">
        <f t="shared" ref="H64:V64" si="113">(H36^2+H50^2)^0.5</f>
        <v>10.003463391348625</v>
      </c>
      <c r="I64" s="17">
        <f t="shared" si="113"/>
        <v>10.037711418220772</v>
      </c>
      <c r="J64" s="17">
        <f t="shared" si="113"/>
        <v>10.072321218360928</v>
      </c>
      <c r="K64" s="17">
        <f t="shared" si="113"/>
        <v>10.082652402831853</v>
      </c>
      <c r="L64" s="17">
        <f t="shared" si="113"/>
        <v>9.9360348141458275</v>
      </c>
      <c r="M64" s="17">
        <f t="shared" si="113"/>
        <v>8.9760965365930403</v>
      </c>
      <c r="N64" s="17">
        <f t="shared" si="113"/>
        <v>8.0563024282956039</v>
      </c>
      <c r="O64" s="17">
        <f t="shared" si="113"/>
        <v>7.2964931380645224</v>
      </c>
      <c r="P64" s="17">
        <f t="shared" si="113"/>
        <v>6.6944865909471343</v>
      </c>
      <c r="Q64" s="17">
        <f t="shared" si="113"/>
        <v>6.2264963550427748</v>
      </c>
      <c r="R64" s="17">
        <f t="shared" si="113"/>
        <v>5.8664829763746846</v>
      </c>
      <c r="S64" s="17">
        <f t="shared" si="113"/>
        <v>5.5893771279002298</v>
      </c>
      <c r="T64" s="17">
        <f t="shared" si="113"/>
        <v>5.3720684393556137</v>
      </c>
      <c r="U64" s="17">
        <f t="shared" si="113"/>
        <v>5.1940626426976371</v>
      </c>
      <c r="V64" s="17">
        <f t="shared" si="113"/>
        <v>5.0375712624267672</v>
      </c>
    </row>
    <row r="65" spans="7:22">
      <c r="G65" s="13">
        <f t="shared" si="109"/>
        <v>1.2</v>
      </c>
      <c r="H65" s="17">
        <f t="shared" ref="H65:V65" si="114">(H37^2+H51^2)^0.5</f>
        <v>10.001568397199813</v>
      </c>
      <c r="I65" s="17">
        <f t="shared" si="114"/>
        <v>10.134050989739483</v>
      </c>
      <c r="J65" s="17">
        <f t="shared" si="114"/>
        <v>10.324215152467213</v>
      </c>
      <c r="K65" s="17">
        <f t="shared" si="114"/>
        <v>10.66475448859223</v>
      </c>
      <c r="L65" s="17">
        <f t="shared" si="114"/>
        <v>11.399983853297792</v>
      </c>
      <c r="M65" s="17">
        <f t="shared" si="114"/>
        <v>9.3340324475182044</v>
      </c>
      <c r="N65" s="17">
        <f t="shared" si="114"/>
        <v>8.042165655463311</v>
      </c>
      <c r="O65" s="17">
        <f t="shared" si="114"/>
        <v>7.1415587960100639</v>
      </c>
      <c r="P65" s="17">
        <f t="shared" si="114"/>
        <v>6.4945985650257434</v>
      </c>
      <c r="Q65" s="17">
        <f t="shared" si="114"/>
        <v>6.0273588195489092</v>
      </c>
      <c r="R65" s="17">
        <f t="shared" si="114"/>
        <v>5.6932306600976341</v>
      </c>
      <c r="S65" s="17">
        <f t="shared" si="114"/>
        <v>5.4560686326779404</v>
      </c>
      <c r="T65" s="17">
        <f t="shared" si="114"/>
        <v>5.2858813844784969</v>
      </c>
      <c r="U65" s="17">
        <f t="shared" si="114"/>
        <v>5.1585208451731681</v>
      </c>
      <c r="V65" s="17">
        <f t="shared" si="114"/>
        <v>5.0552198198177303</v>
      </c>
    </row>
    <row r="66" spans="7:22">
      <c r="G66" s="13">
        <f t="shared" si="109"/>
        <v>1</v>
      </c>
      <c r="H66" s="17">
        <f t="shared" ref="H66:V66" si="115">(H38^2+H52^2)^0.5</f>
        <v>10</v>
      </c>
      <c r="I66" s="17">
        <f t="shared" si="115"/>
        <v>10.177116921455967</v>
      </c>
      <c r="J66" s="17">
        <f t="shared" si="115"/>
        <v>10.445257081871008</v>
      </c>
      <c r="K66" s="17">
        <f t="shared" si="115"/>
        <v>10.970738130168124</v>
      </c>
      <c r="L66" s="17">
        <f t="shared" si="115"/>
        <v>12.622783312953549</v>
      </c>
      <c r="M66" s="17">
        <f t="shared" ref="M66:N66" si="116">(M38^2+M52^2)^0.5</f>
        <v>9.502938855352566</v>
      </c>
      <c r="N66" s="17">
        <f t="shared" si="116"/>
        <v>7.8147989652353909</v>
      </c>
      <c r="O66" s="17">
        <f t="shared" si="115"/>
        <v>6.8275909531569487</v>
      </c>
      <c r="P66" s="17">
        <f t="shared" ref="P66:U71" si="117">(P38^2+P52^2)^0.5</f>
        <v>6.1735956756800476</v>
      </c>
      <c r="Q66" s="17">
        <f t="shared" si="117"/>
        <v>5.7318531863726578</v>
      </c>
      <c r="R66" s="17">
        <f t="shared" si="117"/>
        <v>5.4451560553355627</v>
      </c>
      <c r="S66" s="17">
        <f t="shared" si="117"/>
        <v>5.2682940353789203</v>
      </c>
      <c r="T66" s="17">
        <f t="shared" si="117"/>
        <v>5.1633973479279343</v>
      </c>
      <c r="U66" s="17">
        <f t="shared" si="117"/>
        <v>5.1022350261036324</v>
      </c>
      <c r="V66" s="17">
        <f t="shared" si="115"/>
        <v>5.0657635484028498</v>
      </c>
    </row>
    <row r="67" spans="7:22">
      <c r="G67" s="13">
        <f t="shared" si="109"/>
        <v>0.8</v>
      </c>
      <c r="H67" s="12"/>
      <c r="I67" s="12"/>
      <c r="J67" s="12"/>
      <c r="K67" s="12"/>
      <c r="L67" s="25"/>
      <c r="M67" s="18">
        <f t="shared" ref="M67" si="118">(M39^2+M53^2)^0.5</f>
        <v>8.3148028013856674</v>
      </c>
      <c r="N67" s="17">
        <f t="shared" ref="N67:O67" si="119">(N39^2+N53^2)^0.5</f>
        <v>7.1302132939974339</v>
      </c>
      <c r="O67" s="17">
        <f t="shared" si="119"/>
        <v>6.3054244459126432</v>
      </c>
      <c r="P67" s="17">
        <f t="shared" si="117"/>
        <v>5.7146418006263122</v>
      </c>
      <c r="Q67" s="17">
        <f t="shared" si="117"/>
        <v>5.326186162484718</v>
      </c>
      <c r="R67" s="17">
        <f t="shared" si="117"/>
        <v>5.11291792570246</v>
      </c>
      <c r="S67" s="17">
        <f t="shared" si="117"/>
        <v>5.0218728143756746</v>
      </c>
      <c r="T67" s="17">
        <f t="shared" si="117"/>
        <v>5.0030328444289385</v>
      </c>
      <c r="U67" s="17">
        <f t="shared" si="117"/>
        <v>5.023187302064728</v>
      </c>
      <c r="V67" s="17">
        <f t="shared" ref="V67" si="120">(V39^2+V53^2)^0.5</f>
        <v>5.0646355363287556</v>
      </c>
    </row>
    <row r="68" spans="7:22">
      <c r="G68" s="13">
        <f t="shared" si="109"/>
        <v>0.60000000000000009</v>
      </c>
      <c r="H68" s="12"/>
      <c r="I68" s="12"/>
      <c r="J68" s="12"/>
      <c r="K68" s="12"/>
      <c r="L68" s="12"/>
      <c r="M68" s="26"/>
      <c r="N68" s="18">
        <f t="shared" ref="N68:O68" si="121">(N40^2+N54^2)^0.5</f>
        <v>6.4054624382076373</v>
      </c>
      <c r="O68" s="17">
        <f t="shared" si="121"/>
        <v>5.6807743533910893</v>
      </c>
      <c r="P68" s="17">
        <f t="shared" si="117"/>
        <v>5.142331387404484</v>
      </c>
      <c r="Q68" s="17">
        <f t="shared" si="117"/>
        <v>4.8023720839384989</v>
      </c>
      <c r="R68" s="17">
        <f t="shared" si="117"/>
        <v>4.6916031877971038</v>
      </c>
      <c r="S68" s="17">
        <f t="shared" si="117"/>
        <v>4.7204459865376318</v>
      </c>
      <c r="T68" s="17">
        <f t="shared" si="117"/>
        <v>4.8112605518837359</v>
      </c>
      <c r="U68" s="17">
        <f t="shared" si="117"/>
        <v>4.9255056751315012</v>
      </c>
      <c r="V68" s="17">
        <f t="shared" ref="V68" si="122">(V40^2+V54^2)^0.5</f>
        <v>5.0509518909300626</v>
      </c>
    </row>
    <row r="69" spans="7:22">
      <c r="G69" s="13">
        <f t="shared" si="109"/>
        <v>0.4</v>
      </c>
      <c r="H69" s="12"/>
      <c r="I69" s="12"/>
      <c r="J69" s="12"/>
      <c r="K69" s="12"/>
      <c r="L69" s="12"/>
      <c r="M69" s="12"/>
      <c r="N69" s="26"/>
      <c r="O69" s="18">
        <f t="shared" ref="O69" si="123">(O41^2+O55^2)^0.5</f>
        <v>5.0809043009822146</v>
      </c>
      <c r="P69" s="17">
        <f t="shared" si="117"/>
        <v>4.4816741421074378</v>
      </c>
      <c r="Q69" s="17">
        <f t="shared" si="117"/>
        <v>4.128712029394511</v>
      </c>
      <c r="R69" s="17">
        <f t="shared" si="117"/>
        <v>4.180235774310785</v>
      </c>
      <c r="S69" s="17">
        <f t="shared" si="117"/>
        <v>4.38390946064297</v>
      </c>
      <c r="T69" s="17">
        <f t="shared" si="117"/>
        <v>4.6090563204968689</v>
      </c>
      <c r="U69" s="17">
        <f t="shared" si="117"/>
        <v>4.8229001533339328</v>
      </c>
      <c r="V69" s="17">
        <f t="shared" ref="V69" si="124">(V41^2+V55^2)^0.5</f>
        <v>5.0291045336280664</v>
      </c>
    </row>
    <row r="70" spans="7:22">
      <c r="G70" s="13">
        <f>G71+B$2</f>
        <v>0.2</v>
      </c>
      <c r="H70" s="12"/>
      <c r="I70" s="12"/>
      <c r="J70" s="12"/>
      <c r="K70" s="12"/>
      <c r="L70" s="12"/>
      <c r="M70" s="12"/>
      <c r="N70" s="12"/>
      <c r="O70" s="26"/>
      <c r="P70" s="18">
        <f t="shared" si="117"/>
        <v>3.8258039542956803</v>
      </c>
      <c r="Q70" s="17">
        <f t="shared" si="117"/>
        <v>3.1816951824577893</v>
      </c>
      <c r="R70" s="17">
        <f t="shared" si="117"/>
        <v>3.6103769544784536</v>
      </c>
      <c r="S70" s="17">
        <f t="shared" si="117"/>
        <v>4.0725733839856453</v>
      </c>
      <c r="T70" s="17">
        <f t="shared" si="117"/>
        <v>4.4404156785223474</v>
      </c>
      <c r="U70" s="17">
        <f t="shared" si="117"/>
        <v>4.7402982443511501</v>
      </c>
      <c r="V70" s="17">
        <f t="shared" ref="V70" si="125">(V42^2+V56^2)^0.5</f>
        <v>5.0085329170972797</v>
      </c>
    </row>
    <row r="71" spans="7:22">
      <c r="G71" s="13">
        <v>0</v>
      </c>
      <c r="H71" s="12"/>
      <c r="I71" s="12"/>
      <c r="J71" s="12"/>
      <c r="K71" s="12"/>
      <c r="L71" s="12"/>
      <c r="M71" s="12"/>
      <c r="N71" s="12"/>
      <c r="O71" s="12"/>
      <c r="P71" s="25"/>
      <c r="Q71" s="18">
        <f t="shared" si="117"/>
        <v>2.1832323903183659</v>
      </c>
      <c r="R71" s="17">
        <f t="shared" si="117"/>
        <v>3.2800239002475138</v>
      </c>
      <c r="S71" s="17">
        <f t="shared" si="117"/>
        <v>3.9307645578152464</v>
      </c>
      <c r="T71" s="17">
        <f t="shared" si="117"/>
        <v>4.3713259846811114</v>
      </c>
      <c r="U71" s="17">
        <f t="shared" si="117"/>
        <v>4.7077638255674348</v>
      </c>
      <c r="V71" s="17">
        <f t="shared" ref="V71" si="126">(V43^2+V57^2)^0.5</f>
        <v>5</v>
      </c>
    </row>
    <row r="72" spans="7:22">
      <c r="G72" s="12"/>
      <c r="H72" s="13">
        <v>0</v>
      </c>
      <c r="I72" s="13">
        <f>H72+$B$2</f>
        <v>0.2</v>
      </c>
      <c r="J72" s="13">
        <f t="shared" ref="J72:V72" si="127">I72+$B$2</f>
        <v>0.4</v>
      </c>
      <c r="K72" s="13">
        <f t="shared" si="127"/>
        <v>0.60000000000000009</v>
      </c>
      <c r="L72" s="13">
        <f t="shared" si="127"/>
        <v>0.8</v>
      </c>
      <c r="M72" s="13">
        <f t="shared" si="127"/>
        <v>1</v>
      </c>
      <c r="N72" s="13">
        <f t="shared" si="127"/>
        <v>1.2</v>
      </c>
      <c r="O72" s="13">
        <f t="shared" si="127"/>
        <v>1.4</v>
      </c>
      <c r="P72" s="13">
        <f t="shared" si="127"/>
        <v>1.5999999999999999</v>
      </c>
      <c r="Q72" s="13">
        <f t="shared" si="127"/>
        <v>1.7999999999999998</v>
      </c>
      <c r="R72" s="13">
        <f t="shared" si="127"/>
        <v>1.9999999999999998</v>
      </c>
      <c r="S72" s="13">
        <f t="shared" si="127"/>
        <v>2.1999999999999997</v>
      </c>
      <c r="T72" s="13">
        <f t="shared" si="127"/>
        <v>2.4</v>
      </c>
      <c r="U72" s="13">
        <f t="shared" si="127"/>
        <v>2.6</v>
      </c>
      <c r="V72" s="13">
        <f t="shared" si="127"/>
        <v>2.8000000000000003</v>
      </c>
    </row>
  </sheetData>
  <conditionalFormatting sqref="H19:V29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 val="0"/>
        <cfvo type="max" val="0"/>
        <color rgb="FFFCFCFF"/>
        <color rgb="FFF8696B"/>
      </colorScale>
    </cfRule>
    <cfRule type="colorScale" priority="3">
      <colorScale>
        <cfvo type="min" val="0"/>
        <cfvo type="max" val="0"/>
        <color theme="4"/>
        <color theme="4" tint="0.59999389629810485"/>
      </colorScale>
    </cfRule>
    <cfRule type="colorScale" priority="2">
      <colorScale>
        <cfvo type="min" val="0"/>
        <cfvo type="max" val="0"/>
        <color theme="4" tint="0.59999389629810485"/>
        <color theme="4"/>
      </colorScale>
    </cfRule>
    <cfRule type="colorScale" priority="1">
      <colorScale>
        <cfvo type="min" val="0"/>
        <cfvo type="max" val="0"/>
        <color theme="4" tint="0.79998168889431442"/>
        <color theme="4"/>
      </colorScale>
    </cfRule>
  </conditionalFormatting>
  <conditionalFormatting sqref="L53">
    <cfRule type="colorScale" priority="4">
      <colorScale>
        <cfvo type="min" val="0"/>
        <cfvo type="max" val="0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r:id="rId1"/>
  <ignoredErrors>
    <ignoredError sqref="I47 AI8:AN8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Metzler</dc:creator>
  <cp:lastModifiedBy>user</cp:lastModifiedBy>
  <dcterms:created xsi:type="dcterms:W3CDTF">2021-04-15T15:40:00Z</dcterms:created>
  <dcterms:modified xsi:type="dcterms:W3CDTF">2021-05-17T15:24:30Z</dcterms:modified>
</cp:coreProperties>
</file>